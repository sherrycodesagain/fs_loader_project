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Annual Income Statement" sheetId="2" state="visible" r:id="rId2"/>
    <sheet name="Quarterly Income Statement" sheetId="3" state="visible" r:id="rId3"/>
    <sheet name="Monthly Income Statem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%;(0%)"/>
  </numFmts>
  <fonts count="7">
    <font>
      <name val="Calibri"/>
      <family val="2"/>
      <color theme="1"/>
      <sz val="11"/>
      <scheme val="minor"/>
    </font>
    <font>
      <name val="Arial"/>
      <sz val="10"/>
    </font>
    <font>
      <name val="Arial"/>
      <sz val="8.5"/>
    </font>
    <font>
      <name val="Arial"/>
      <b val="1"/>
      <sz val="10"/>
    </font>
    <font>
      <name val="Arial"/>
      <i val="1"/>
      <sz val="10"/>
    </font>
    <font>
      <name val="Arial"/>
      <b val="1"/>
      <color rgb="00FFFFFF"/>
      <sz val="14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5" fillId="2" borderId="0" applyAlignment="1" pivotButton="0" quotePrefix="0" xfId="0">
      <alignment horizontal="left"/>
    </xf>
    <xf numFmtId="0" fontId="6" fillId="2" borderId="0" applyAlignment="1" pivotButton="0" quotePrefix="0" xfId="0">
      <alignment horizontal="left"/>
    </xf>
    <xf numFmtId="0" fontId="6" fillId="2" borderId="0" applyAlignment="1" pivotButton="0" quotePrefix="0" xfId="0">
      <alignment horizontal="center"/>
    </xf>
    <xf numFmtId="0" fontId="6" fillId="2" borderId="0" applyAlignment="1" pivotButton="0" quotePrefix="0" xfId="0">
      <alignment horizontal="center" vertical="center"/>
    </xf>
    <xf numFmtId="0" fontId="1" fillId="0" borderId="0" pivotButton="0" quotePrefix="0" xfId="0"/>
    <xf numFmtId="37" fontId="0" fillId="0" borderId="0" pivotButton="0" quotePrefix="0" xfId="0"/>
    <xf numFmtId="164" fontId="0" fillId="0" borderId="0" pivotButton="0" quotePrefix="0" xfId="0"/>
    <xf numFmtId="37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indent="1"/>
    </xf>
    <xf numFmtId="0" fontId="1" fillId="0" borderId="0" applyAlignment="1" pivotButton="0" quotePrefix="0" xfId="0">
      <alignment indent="2"/>
    </xf>
    <xf numFmtId="0" fontId="2" fillId="0" borderId="0" applyAlignment="1" pivotButton="0" quotePrefix="0" xfId="0">
      <alignment indent="3"/>
    </xf>
    <xf numFmtId="0" fontId="3" fillId="0" borderId="0" pivotButton="0" quotePrefix="0" xfId="0"/>
    <xf numFmtId="37" fontId="3" fillId="0" borderId="0" pivotButton="0" quotePrefix="0" xfId="0"/>
    <xf numFmtId="164" fontId="3" fillId="0" borderId="0" pivotButton="0" quotePrefix="0" xfId="0"/>
    <xf numFmtId="37" fontId="3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center"/>
    </xf>
    <xf numFmtId="37" fontId="1" fillId="0" borderId="0" pivotButton="0" quotePrefix="0" xfId="0"/>
    <xf numFmtId="164" fontId="1" fillId="0" borderId="0" pivotButton="0" quotePrefix="0" xfId="0"/>
    <xf numFmtId="0" fontId="4" fillId="0" borderId="0" applyAlignment="1" pivotButton="0" quotePrefix="0" xfId="0">
      <alignment inden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applyStyles="1" summaryBelow="0" summaryRight="1" showOutlineSymbols="1"/>
    <pageSetUpPr/>
  </sheetPr>
  <dimension ref="A1:J126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7" customWidth="1" min="3" max="3"/>
    <col width="11" customWidth="1" min="4" max="4"/>
    <col width="7" customWidth="1" min="5" max="5"/>
    <col width="11" customWidth="1" min="6" max="6"/>
    <col width="7" customWidth="1" min="7" max="7"/>
    <col width="4" customWidth="1" min="8" max="8"/>
    <col width="11" customWidth="1" min="9" max="9"/>
    <col width="7" customWidth="1" min="10" max="10"/>
  </cols>
  <sheetData>
    <row r="1">
      <c r="A1" s="1" t="inlineStr">
        <is>
          <t>Annual Income Statements</t>
        </is>
      </c>
    </row>
    <row r="2">
      <c r="A2" s="2" t="inlineStr">
        <is>
          <t>Your Company Name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2" t="inlineStr">
        <is>
          <t>(CAD)$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>
      <c r="A4" s="2" t="inlineStr">
        <is>
          <t>Year End: March 31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/>
    <row r="6">
      <c r="B6" s="4" t="inlineStr">
        <is>
          <t>F2022</t>
        </is>
      </c>
      <c r="D6" s="4" t="inlineStr">
        <is>
          <t>F2023</t>
        </is>
      </c>
      <c r="F6" s="4" t="inlineStr">
        <is>
          <t>LTM Dec 2023</t>
        </is>
      </c>
      <c r="I6" s="4" t="inlineStr">
        <is>
          <t>Δ (F2023 to LTM)</t>
        </is>
      </c>
    </row>
    <row r="7">
      <c r="A7" s="5" t="inlineStr">
        <is>
          <t>Sales</t>
        </is>
      </c>
      <c r="B7" s="6" t="n">
        <v>2271084.6</v>
      </c>
      <c r="C7" s="7">
        <f>B7/$B$7</f>
        <v/>
      </c>
      <c r="D7" s="6" t="n">
        <v>3091765</v>
      </c>
      <c r="E7" s="7">
        <f>D7/$D$7</f>
        <v/>
      </c>
      <c r="F7" s="6" t="n">
        <v>3445240.84</v>
      </c>
      <c r="G7" s="7">
        <f>F7/$F$7</f>
        <v/>
      </c>
      <c r="I7" s="8">
        <f>F7-D7</f>
        <v/>
      </c>
      <c r="J7" s="9">
        <f>IF(D7=0,0,(F7/D7)-1)</f>
        <v/>
      </c>
    </row>
    <row r="8" hidden="1" outlineLevel="1" collapsed="1">
      <c r="A8" s="10" t="inlineStr">
        <is>
          <t>Sales</t>
        </is>
      </c>
      <c r="B8" s="6" t="n">
        <v>2271084.6</v>
      </c>
      <c r="C8" s="7">
        <f>B8/$B$7</f>
        <v/>
      </c>
      <c r="D8" s="6" t="n">
        <v>3091765</v>
      </c>
      <c r="E8" s="7">
        <f>D8/$D$7</f>
        <v/>
      </c>
      <c r="F8" s="6" t="n">
        <v>3445240.84</v>
      </c>
      <c r="G8" s="7">
        <f>F8/$F$7</f>
        <v/>
      </c>
      <c r="I8" s="8">
        <f>F8-D8</f>
        <v/>
      </c>
      <c r="J8" s="9">
        <f>IF(D8=0,0,(F8/D8)-1)</f>
        <v/>
      </c>
    </row>
    <row r="9" hidden="1" outlineLevel="2" collapsed="1">
      <c r="A9" s="11" t="inlineStr">
        <is>
          <t>Hat sales</t>
        </is>
      </c>
      <c r="B9" s="6" t="n">
        <v>1338277.04</v>
      </c>
      <c r="C9" s="7">
        <f>B9/$B$7</f>
        <v/>
      </c>
      <c r="D9" s="6" t="n">
        <v>2040330.28</v>
      </c>
      <c r="E9" s="7">
        <f>D9/$D$7</f>
        <v/>
      </c>
      <c r="F9" s="6" t="n">
        <v>2398900.84</v>
      </c>
      <c r="G9" s="7">
        <f>F9/$F$7</f>
        <v/>
      </c>
      <c r="I9" s="8">
        <f>F9-D9</f>
        <v/>
      </c>
      <c r="J9" s="9">
        <f>IF(D9=0,0,(F9/D9)-1)</f>
        <v/>
      </c>
    </row>
    <row r="10" hidden="1" outlineLevel="3" collapsed="1">
      <c r="A10" s="12" t="inlineStr">
        <is>
          <t>4001 - Hat sales</t>
        </is>
      </c>
      <c r="B10" s="6" t="n">
        <v>1338277.04</v>
      </c>
      <c r="C10" s="7">
        <f>B10/$B$7</f>
        <v/>
      </c>
      <c r="D10" s="6" t="n">
        <v>2040330.28</v>
      </c>
      <c r="E10" s="7">
        <f>D10/$D$7</f>
        <v/>
      </c>
      <c r="F10" s="6" t="n">
        <v>2398900.84</v>
      </c>
      <c r="G10" s="7">
        <f>F10/$F$7</f>
        <v/>
      </c>
      <c r="I10" s="8">
        <f>F10-D10</f>
        <v/>
      </c>
      <c r="J10" s="9">
        <f>IF(D10=0,0,(F10/D10)-1)</f>
        <v/>
      </c>
    </row>
    <row r="11" hidden="1" outlineLevel="2" collapsed="1">
      <c r="A11" s="11" t="inlineStr">
        <is>
          <t>T-shirt sales</t>
        </is>
      </c>
      <c r="B11" s="6" t="n">
        <v>932807.5599999999</v>
      </c>
      <c r="C11" s="7">
        <f>B11/$B$7</f>
        <v/>
      </c>
      <c r="D11" s="6" t="n">
        <v>1051434.72</v>
      </c>
      <c r="E11" s="7">
        <f>D11/$D$7</f>
        <v/>
      </c>
      <c r="F11" s="6" t="n">
        <v>1046340</v>
      </c>
      <c r="G11" s="7">
        <f>F11/$F$7</f>
        <v/>
      </c>
      <c r="I11" s="8">
        <f>F11-D11</f>
        <v/>
      </c>
      <c r="J11" s="9">
        <f>IF(D11=0,0,(F11/D11)-1)</f>
        <v/>
      </c>
    </row>
    <row r="12" hidden="1" outlineLevel="3" collapsed="1">
      <c r="A12" s="12" t="inlineStr">
        <is>
          <t>4002 - T-shirt sales</t>
        </is>
      </c>
      <c r="B12" s="6" t="n">
        <v>932807.5599999999</v>
      </c>
      <c r="C12" s="7">
        <f>B12/$B$7</f>
        <v/>
      </c>
      <c r="D12" s="6" t="n">
        <v>1051434.72</v>
      </c>
      <c r="E12" s="7">
        <f>D12/$D$7</f>
        <v/>
      </c>
      <c r="F12" s="6" t="n">
        <v>1046340</v>
      </c>
      <c r="G12" s="7">
        <f>F12/$F$7</f>
        <v/>
      </c>
      <c r="I12" s="8">
        <f>F12-D12</f>
        <v/>
      </c>
      <c r="J12" s="9">
        <f>IF(D12=0,0,(F12/D12)-1)</f>
        <v/>
      </c>
    </row>
    <row r="13"/>
    <row r="14">
      <c r="A14" s="5" t="inlineStr">
        <is>
          <t>Cost of sales</t>
        </is>
      </c>
      <c r="B14" s="6" t="n">
        <v>874226.84788</v>
      </c>
      <c r="C14" s="7">
        <f>B14/$B$7</f>
        <v/>
      </c>
      <c r="D14" s="6" t="n">
        <v>1161931.49752</v>
      </c>
      <c r="E14" s="7">
        <f>D14/$D$7</f>
        <v/>
      </c>
      <c r="F14" s="6" t="n">
        <v>1314735.56956</v>
      </c>
      <c r="G14" s="7">
        <f>F14/$F$7</f>
        <v/>
      </c>
      <c r="I14" s="8">
        <f>F14-D14</f>
        <v/>
      </c>
      <c r="J14" s="9">
        <f>IF(D14=0,0,(F14/D14)-1)</f>
        <v/>
      </c>
    </row>
    <row r="15" hidden="1" outlineLevel="1" collapsed="1">
      <c r="A15" s="10" t="inlineStr">
        <is>
          <t>Cost of sales</t>
        </is>
      </c>
      <c r="B15" s="6" t="n">
        <v>874226.84788</v>
      </c>
      <c r="C15" s="7">
        <f>B15/$B$7</f>
        <v/>
      </c>
      <c r="D15" s="6" t="n">
        <v>1161931.49752</v>
      </c>
      <c r="E15" s="7">
        <f>D15/$D$7</f>
        <v/>
      </c>
      <c r="F15" s="6" t="n">
        <v>1314735.56956</v>
      </c>
      <c r="G15" s="7">
        <f>F15/$F$7</f>
        <v/>
      </c>
      <c r="I15" s="8">
        <f>F15-D15</f>
        <v/>
      </c>
      <c r="J15" s="9">
        <f>IF(D15=0,0,(F15/D15)-1)</f>
        <v/>
      </c>
    </row>
    <row r="16" hidden="1" outlineLevel="2" collapsed="1">
      <c r="A16" s="11" t="inlineStr">
        <is>
          <t>Hat cost of sales</t>
        </is>
      </c>
      <c r="B16" s="6" t="n">
        <v>567616.48844</v>
      </c>
      <c r="C16" s="7">
        <f>B16/$B$7</f>
        <v/>
      </c>
      <c r="D16" s="6" t="n">
        <v>796712.38672</v>
      </c>
      <c r="E16" s="7">
        <f>D16/$D$7</f>
        <v/>
      </c>
      <c r="F16" s="6" t="n">
        <v>938870.4595600001</v>
      </c>
      <c r="G16" s="7">
        <f>F16/$F$7</f>
        <v/>
      </c>
      <c r="I16" s="8">
        <f>F16-D16</f>
        <v/>
      </c>
      <c r="J16" s="9">
        <f>IF(D16=0,0,(F16/D16)-1)</f>
        <v/>
      </c>
    </row>
    <row r="17" hidden="1" outlineLevel="3" collapsed="1">
      <c r="A17" s="12" t="inlineStr">
        <is>
          <t>5001 - Hat cost of sales</t>
        </is>
      </c>
      <c r="B17" s="6" t="n">
        <v>567616.48844</v>
      </c>
      <c r="C17" s="7">
        <f>B17/$B$7</f>
        <v/>
      </c>
      <c r="D17" s="6" t="n">
        <v>796712.38672</v>
      </c>
      <c r="E17" s="7">
        <f>D17/$D$7</f>
        <v/>
      </c>
      <c r="F17" s="6" t="n">
        <v>938870.4595600001</v>
      </c>
      <c r="G17" s="7">
        <f>F17/$F$7</f>
        <v/>
      </c>
      <c r="I17" s="8">
        <f>F17-D17</f>
        <v/>
      </c>
      <c r="J17" s="9">
        <f>IF(D17=0,0,(F17/D17)-1)</f>
        <v/>
      </c>
    </row>
    <row r="18" hidden="1" outlineLevel="2" collapsed="1">
      <c r="A18" s="11" t="inlineStr">
        <is>
          <t>T-shirt cost of sales</t>
        </is>
      </c>
      <c r="B18" s="6" t="n">
        <v>306610.35944</v>
      </c>
      <c r="C18" s="7">
        <f>B18/$B$7</f>
        <v/>
      </c>
      <c r="D18" s="6" t="n">
        <v>365219.1108</v>
      </c>
      <c r="E18" s="7">
        <f>D18/$D$7</f>
        <v/>
      </c>
      <c r="F18" s="6" t="n">
        <v>375865.11</v>
      </c>
      <c r="G18" s="7">
        <f>F18/$F$7</f>
        <v/>
      </c>
      <c r="I18" s="8">
        <f>F18-D18</f>
        <v/>
      </c>
      <c r="J18" s="9">
        <f>IF(D18=0,0,(F18/D18)-1)</f>
        <v/>
      </c>
    </row>
    <row r="19" hidden="1" outlineLevel="3" collapsed="1">
      <c r="A19" s="12" t="inlineStr">
        <is>
          <t>5002 - T-shirt cost of sales</t>
        </is>
      </c>
      <c r="B19" s="6" t="n">
        <v>306610.35944</v>
      </c>
      <c r="C19" s="7">
        <f>B19/$B$7</f>
        <v/>
      </c>
      <c r="D19" s="6" t="n">
        <v>365219.1108</v>
      </c>
      <c r="E19" s="7">
        <f>D19/$D$7</f>
        <v/>
      </c>
      <c r="F19" s="6" t="n">
        <v>375865.11</v>
      </c>
      <c r="G19" s="7">
        <f>F19/$F$7</f>
        <v/>
      </c>
      <c r="I19" s="8">
        <f>F19-D19</f>
        <v/>
      </c>
      <c r="J19" s="9">
        <f>IF(D19=0,0,(F19/D19)-1)</f>
        <v/>
      </c>
    </row>
    <row r="20"/>
    <row r="21">
      <c r="A21" s="13" t="inlineStr">
        <is>
          <t>Gross Margin</t>
        </is>
      </c>
      <c r="B21" s="14">
        <f>B7-B14</f>
        <v/>
      </c>
      <c r="C21" s="15">
        <f>B21/$B$7</f>
        <v/>
      </c>
      <c r="D21" s="14">
        <f>D7-D14</f>
        <v/>
      </c>
      <c r="E21" s="15">
        <f>D21/$D$7</f>
        <v/>
      </c>
      <c r="F21" s="14">
        <f>F7-F14</f>
        <v/>
      </c>
      <c r="G21" s="15">
        <f>F21/$F$7</f>
        <v/>
      </c>
      <c r="H21" s="13" t="n"/>
      <c r="I21" s="16">
        <f>F21-D21</f>
        <v/>
      </c>
      <c r="J21" s="17">
        <f>IF(D21=0,0,(F21/D21)-1)</f>
        <v/>
      </c>
    </row>
    <row r="22"/>
    <row r="23">
      <c r="A23" s="5" t="inlineStr">
        <is>
          <t>Operating expenses</t>
        </is>
      </c>
      <c r="B23" s="6" t="n">
        <v>761315.5108843552</v>
      </c>
      <c r="C23" s="7">
        <f>B23/$B$7</f>
        <v/>
      </c>
      <c r="D23" s="6" t="n">
        <v>778331.7772767607</v>
      </c>
      <c r="E23" s="7">
        <f>D23/$D$7</f>
        <v/>
      </c>
      <c r="F23" s="6" t="n">
        <v>758072.4387104895</v>
      </c>
      <c r="G23" s="7">
        <f>F23/$F$7</f>
        <v/>
      </c>
      <c r="I23" s="8">
        <f>F23-D23</f>
        <v/>
      </c>
      <c r="J23" s="9">
        <f>IF(D23=0,0,(F23/D23)-1)</f>
        <v/>
      </c>
    </row>
    <row r="24" hidden="1" outlineLevel="1" collapsed="1">
      <c r="A24" s="10" t="inlineStr">
        <is>
          <t>Advertising and promotions</t>
        </is>
      </c>
      <c r="B24" s="6" t="n">
        <v>33000</v>
      </c>
      <c r="C24" s="7">
        <f>B24/$B$7</f>
        <v/>
      </c>
      <c r="D24" s="6" t="n">
        <v>33000</v>
      </c>
      <c r="E24" s="7">
        <f>D24/$D$7</f>
        <v/>
      </c>
      <c r="F24" s="6" t="n">
        <v>33000</v>
      </c>
      <c r="G24" s="7">
        <f>F24/$F$7</f>
        <v/>
      </c>
      <c r="I24" s="8">
        <f>F24-D24</f>
        <v/>
      </c>
      <c r="J24" s="9">
        <f>IF(D24=0,0,(F24/D24)-1)</f>
        <v/>
      </c>
    </row>
    <row r="25" hidden="1" outlineLevel="2" collapsed="1">
      <c r="A25" s="11" t="inlineStr">
        <is>
          <t>Donations</t>
        </is>
      </c>
      <c r="B25" s="6" t="n">
        <v>5000</v>
      </c>
      <c r="C25" s="7">
        <f>B25/$B$7</f>
        <v/>
      </c>
      <c r="D25" s="6" t="n">
        <v>5000</v>
      </c>
      <c r="E25" s="7">
        <f>D25/$D$7</f>
        <v/>
      </c>
      <c r="F25" s="6" t="n">
        <v>5000</v>
      </c>
      <c r="G25" s="7">
        <f>F25/$F$7</f>
        <v/>
      </c>
      <c r="I25" s="8">
        <f>F25-D25</f>
        <v/>
      </c>
      <c r="J25" s="9">
        <f>IF(D25=0,0,(F25/D25)-1)</f>
        <v/>
      </c>
    </row>
    <row r="26" hidden="1" outlineLevel="3" collapsed="1">
      <c r="A26" s="12" t="inlineStr">
        <is>
          <t>6003 - Donations - golf tournaments</t>
        </is>
      </c>
      <c r="B26" s="6" t="n">
        <v>5000</v>
      </c>
      <c r="C26" s="7">
        <f>B26/$B$7</f>
        <v/>
      </c>
      <c r="D26" s="6" t="n">
        <v>5000</v>
      </c>
      <c r="E26" s="7">
        <f>D26/$D$7</f>
        <v/>
      </c>
      <c r="F26" s="6" t="n">
        <v>5000</v>
      </c>
      <c r="G26" s="7">
        <f>F26/$F$7</f>
        <v/>
      </c>
      <c r="I26" s="8">
        <f>F26-D26</f>
        <v/>
      </c>
      <c r="J26" s="9">
        <f>IF(D26=0,0,(F26/D26)-1)</f>
        <v/>
      </c>
    </row>
    <row r="27" hidden="1" outlineLevel="2" collapsed="1">
      <c r="A27" s="11" t="inlineStr">
        <is>
          <t>Other Advertising and promotions</t>
        </is>
      </c>
      <c r="B27" s="6" t="n">
        <v>6000</v>
      </c>
      <c r="C27" s="7">
        <f>B27/$B$7</f>
        <v/>
      </c>
      <c r="D27" s="6" t="n">
        <v>6000</v>
      </c>
      <c r="E27" s="7">
        <f>D27/$D$7</f>
        <v/>
      </c>
      <c r="F27" s="6" t="n">
        <v>6000</v>
      </c>
      <c r="G27" s="7">
        <f>F27/$F$7</f>
        <v/>
      </c>
      <c r="I27" s="8">
        <f>F27-D27</f>
        <v/>
      </c>
      <c r="J27" s="9">
        <f>IF(D27=0,0,(F27/D27)-1)</f>
        <v/>
      </c>
    </row>
    <row r="28" hidden="1" outlineLevel="3" collapsed="1">
      <c r="A28" s="12" t="inlineStr">
        <is>
          <t>6002 - Promotion - commercials</t>
        </is>
      </c>
      <c r="B28" s="6" t="n">
        <v>6000</v>
      </c>
      <c r="C28" s="7">
        <f>B28/$B$7</f>
        <v/>
      </c>
      <c r="D28" s="6" t="n">
        <v>6000</v>
      </c>
      <c r="E28" s="7">
        <f>D28/$D$7</f>
        <v/>
      </c>
      <c r="F28" s="6" t="n">
        <v>6000</v>
      </c>
      <c r="G28" s="7">
        <f>F28/$F$7</f>
        <v/>
      </c>
      <c r="I28" s="8">
        <f>F28-D28</f>
        <v/>
      </c>
      <c r="J28" s="9">
        <f>IF(D28=0,0,(F28/D28)-1)</f>
        <v/>
      </c>
    </row>
    <row r="29" hidden="1" outlineLevel="2" collapsed="1">
      <c r="A29" s="11" t="inlineStr">
        <is>
          <t>Promotions/ads</t>
        </is>
      </c>
      <c r="B29" s="6" t="n">
        <v>22000</v>
      </c>
      <c r="C29" s="7">
        <f>B29/$B$7</f>
        <v/>
      </c>
      <c r="D29" s="6" t="n">
        <v>22000</v>
      </c>
      <c r="E29" s="7">
        <f>D29/$D$7</f>
        <v/>
      </c>
      <c r="F29" s="6" t="n">
        <v>22000</v>
      </c>
      <c r="G29" s="7">
        <f>F29/$F$7</f>
        <v/>
      </c>
      <c r="I29" s="8">
        <f>F29-D29</f>
        <v/>
      </c>
      <c r="J29" s="9">
        <f>IF(D29=0,0,(F29/D29)-1)</f>
        <v/>
      </c>
    </row>
    <row r="30" hidden="1" outlineLevel="3" collapsed="1">
      <c r="A30" s="12" t="inlineStr">
        <is>
          <t>6000 - Online marketing ads</t>
        </is>
      </c>
      <c r="B30" s="6" t="n">
        <v>12000</v>
      </c>
      <c r="C30" s="7">
        <f>B30/$B$7</f>
        <v/>
      </c>
      <c r="D30" s="6" t="n">
        <v>12000</v>
      </c>
      <c r="E30" s="7">
        <f>D30/$D$7</f>
        <v/>
      </c>
      <c r="F30" s="6" t="n">
        <v>12000</v>
      </c>
      <c r="G30" s="7">
        <f>F30/$F$7</f>
        <v/>
      </c>
      <c r="I30" s="8">
        <f>F30-D30</f>
        <v/>
      </c>
      <c r="J30" s="9">
        <f>IF(D30=0,0,(F30/D30)-1)</f>
        <v/>
      </c>
    </row>
    <row r="31" hidden="1" outlineLevel="3" collapsed="1">
      <c r="A31" s="12" t="inlineStr">
        <is>
          <t>6001 - Promotion - trade shows</t>
        </is>
      </c>
      <c r="B31" s="6" t="n">
        <v>10000</v>
      </c>
      <c r="C31" s="7">
        <f>B31/$B$7</f>
        <v/>
      </c>
      <c r="D31" s="6" t="n">
        <v>10000</v>
      </c>
      <c r="E31" s="7">
        <f>D31/$D$7</f>
        <v/>
      </c>
      <c r="F31" s="6" t="n">
        <v>10000</v>
      </c>
      <c r="G31" s="7">
        <f>F31/$F$7</f>
        <v/>
      </c>
      <c r="I31" s="8">
        <f>F31-D31</f>
        <v/>
      </c>
      <c r="J31" s="9">
        <f>IF(D31=0,0,(F31/D31)-1)</f>
        <v/>
      </c>
    </row>
    <row r="32" hidden="1" outlineLevel="1" collapsed="1">
      <c r="A32" s="10" t="inlineStr">
        <is>
          <t>Amortization</t>
        </is>
      </c>
      <c r="B32" s="6" t="n">
        <v>6000</v>
      </c>
      <c r="C32" s="7">
        <f>B32/$B$7</f>
        <v/>
      </c>
      <c r="D32" s="6" t="n">
        <v>6000</v>
      </c>
      <c r="E32" s="7">
        <f>D32/$D$7</f>
        <v/>
      </c>
      <c r="F32" s="6" t="n">
        <v>6000</v>
      </c>
      <c r="G32" s="7">
        <f>F32/$F$7</f>
        <v/>
      </c>
      <c r="I32" s="8">
        <f>F32-D32</f>
        <v/>
      </c>
      <c r="J32" s="9">
        <f>IF(D32=0,0,(F32/D32)-1)</f>
        <v/>
      </c>
    </row>
    <row r="33" hidden="1" outlineLevel="2" collapsed="1">
      <c r="A33" s="11" t="inlineStr"/>
      <c r="B33" s="6" t="n">
        <v>6000</v>
      </c>
      <c r="D33" s="6" t="n">
        <v>6000</v>
      </c>
      <c r="F33" s="6" t="n">
        <v>6000</v>
      </c>
    </row>
    <row r="34" hidden="1" outlineLevel="3" collapsed="1">
      <c r="A34" s="12" t="inlineStr">
        <is>
          <t>6101 - Amortization - software</t>
        </is>
      </c>
      <c r="B34" s="6" t="n">
        <v>6000</v>
      </c>
      <c r="C34" s="7">
        <f>B34/$B$7</f>
        <v/>
      </c>
      <c r="D34" s="6" t="n">
        <v>6000</v>
      </c>
      <c r="E34" s="7">
        <f>D34/$D$7</f>
        <v/>
      </c>
      <c r="F34" s="6" t="n">
        <v>6000</v>
      </c>
      <c r="G34" s="7">
        <f>F34/$F$7</f>
        <v/>
      </c>
      <c r="I34" s="8">
        <f>F34-D34</f>
        <v/>
      </c>
      <c r="J34" s="9">
        <f>IF(D34=0,0,(F34/D34)-1)</f>
        <v/>
      </c>
    </row>
    <row r="35" hidden="1" outlineLevel="1" collapsed="1">
      <c r="A35" s="10" t="inlineStr">
        <is>
          <t>Bad debt</t>
        </is>
      </c>
      <c r="B35" s="6" t="n">
        <v>12000</v>
      </c>
      <c r="C35" s="7">
        <f>B35/$B$7</f>
        <v/>
      </c>
      <c r="D35" s="6" t="n">
        <v>12000</v>
      </c>
      <c r="E35" s="7">
        <f>D35/$D$7</f>
        <v/>
      </c>
      <c r="F35" s="6" t="n">
        <v>12000</v>
      </c>
      <c r="G35" s="7">
        <f>F35/$F$7</f>
        <v/>
      </c>
      <c r="I35" s="8">
        <f>F35-D35</f>
        <v/>
      </c>
      <c r="J35" s="9">
        <f>IF(D35=0,0,(F35/D35)-1)</f>
        <v/>
      </c>
    </row>
    <row r="36" hidden="1" outlineLevel="2" collapsed="1">
      <c r="A36" s="11" t="inlineStr"/>
      <c r="B36" s="6" t="n">
        <v>12000</v>
      </c>
      <c r="D36" s="6" t="n">
        <v>12000</v>
      </c>
      <c r="F36" s="6" t="n">
        <v>12000</v>
      </c>
    </row>
    <row r="37" hidden="1" outlineLevel="3" collapsed="1">
      <c r="A37" s="12" t="inlineStr">
        <is>
          <t>6800 - Customer write-offs</t>
        </is>
      </c>
      <c r="B37" s="6" t="n">
        <v>12000</v>
      </c>
      <c r="C37" s="7">
        <f>B37/$B$7</f>
        <v/>
      </c>
      <c r="D37" s="6" t="n">
        <v>12000</v>
      </c>
      <c r="E37" s="7">
        <f>D37/$D$7</f>
        <v/>
      </c>
      <c r="F37" s="6" t="n">
        <v>12000</v>
      </c>
      <c r="G37" s="7">
        <f>F37/$F$7</f>
        <v/>
      </c>
      <c r="I37" s="8">
        <f>F37-D37</f>
        <v/>
      </c>
      <c r="J37" s="9">
        <f>IF(D37=0,0,(F37/D37)-1)</f>
        <v/>
      </c>
    </row>
    <row r="38" hidden="1" outlineLevel="1" collapsed="1">
      <c r="A38" s="10" t="inlineStr">
        <is>
          <t>Bank fees</t>
        </is>
      </c>
      <c r="B38" s="6" t="n">
        <v>2400</v>
      </c>
      <c r="C38" s="7">
        <f>B38/$B$7</f>
        <v/>
      </c>
      <c r="D38" s="6" t="n">
        <v>2400</v>
      </c>
      <c r="E38" s="7">
        <f>D38/$D$7</f>
        <v/>
      </c>
      <c r="F38" s="6" t="n">
        <v>2400</v>
      </c>
      <c r="G38" s="7">
        <f>F38/$F$7</f>
        <v/>
      </c>
      <c r="I38" s="8">
        <f>F38-D38</f>
        <v/>
      </c>
      <c r="J38" s="9">
        <f>IF(D38=0,0,(F38/D38)-1)</f>
        <v/>
      </c>
    </row>
    <row r="39" hidden="1" outlineLevel="2" collapsed="1">
      <c r="A39" s="11" t="inlineStr"/>
      <c r="B39" s="6" t="n">
        <v>2400</v>
      </c>
      <c r="D39" s="6" t="n">
        <v>2400</v>
      </c>
      <c r="F39" s="6" t="n">
        <v>2400</v>
      </c>
    </row>
    <row r="40" hidden="1" outlineLevel="3" collapsed="1">
      <c r="A40" s="12" t="inlineStr">
        <is>
          <t>6702 - Bank charges</t>
        </is>
      </c>
      <c r="B40" s="6" t="n">
        <v>2400</v>
      </c>
      <c r="C40" s="7">
        <f>B40/$B$7</f>
        <v/>
      </c>
      <c r="D40" s="6" t="n">
        <v>2400</v>
      </c>
      <c r="E40" s="7">
        <f>D40/$D$7</f>
        <v/>
      </c>
      <c r="F40" s="6" t="n">
        <v>2400</v>
      </c>
      <c r="G40" s="7">
        <f>F40/$F$7</f>
        <v/>
      </c>
      <c r="I40" s="8">
        <f>F40-D40</f>
        <v/>
      </c>
      <c r="J40" s="9">
        <f>IF(D40=0,0,(F40/D40)-1)</f>
        <v/>
      </c>
    </row>
    <row r="41" hidden="1" outlineLevel="1" collapsed="1">
      <c r="A41" s="10" t="inlineStr">
        <is>
          <t>Depreciation</t>
        </is>
      </c>
      <c r="B41" s="6" t="n">
        <v>12000</v>
      </c>
      <c r="C41" s="7">
        <f>B41/$B$7</f>
        <v/>
      </c>
      <c r="D41" s="6" t="n">
        <v>12000</v>
      </c>
      <c r="E41" s="7">
        <f>D41/$D$7</f>
        <v/>
      </c>
      <c r="F41" s="6" t="n">
        <v>12000</v>
      </c>
      <c r="G41" s="7">
        <f>F41/$F$7</f>
        <v/>
      </c>
      <c r="I41" s="8">
        <f>F41-D41</f>
        <v/>
      </c>
      <c r="J41" s="9">
        <f>IF(D41=0,0,(F41/D41)-1)</f>
        <v/>
      </c>
    </row>
    <row r="42" hidden="1" outlineLevel="2" collapsed="1">
      <c r="A42" s="11" t="inlineStr"/>
      <c r="B42" s="6" t="n">
        <v>12000</v>
      </c>
      <c r="D42" s="6" t="n">
        <v>12000</v>
      </c>
      <c r="F42" s="6" t="n">
        <v>12000</v>
      </c>
    </row>
    <row r="43" hidden="1" outlineLevel="3" collapsed="1">
      <c r="A43" s="12" t="inlineStr">
        <is>
          <t>6100 - Depreciation - fixed assets</t>
        </is>
      </c>
      <c r="B43" s="6" t="n">
        <v>12000</v>
      </c>
      <c r="C43" s="7">
        <f>B43/$B$7</f>
        <v/>
      </c>
      <c r="D43" s="6" t="n">
        <v>12000</v>
      </c>
      <c r="E43" s="7">
        <f>D43/$D$7</f>
        <v/>
      </c>
      <c r="F43" s="6" t="n">
        <v>12000</v>
      </c>
      <c r="G43" s="7">
        <f>F43/$F$7</f>
        <v/>
      </c>
      <c r="I43" s="8">
        <f>F43-D43</f>
        <v/>
      </c>
      <c r="J43" s="9">
        <f>IF(D43=0,0,(F43/D43)-1)</f>
        <v/>
      </c>
    </row>
    <row r="44" hidden="1" outlineLevel="1" collapsed="1">
      <c r="A44" s="10" t="inlineStr">
        <is>
          <t>Freight</t>
        </is>
      </c>
      <c r="B44" s="6" t="n">
        <v>60000</v>
      </c>
      <c r="C44" s="7">
        <f>B44/$B$7</f>
        <v/>
      </c>
      <c r="D44" s="6" t="n">
        <v>60000</v>
      </c>
      <c r="E44" s="7">
        <f>D44/$D$7</f>
        <v/>
      </c>
      <c r="F44" s="6" t="n">
        <v>60000</v>
      </c>
      <c r="G44" s="7">
        <f>F44/$F$7</f>
        <v/>
      </c>
      <c r="I44" s="8">
        <f>F44-D44</f>
        <v/>
      </c>
      <c r="J44" s="9">
        <f>IF(D44=0,0,(F44/D44)-1)</f>
        <v/>
      </c>
    </row>
    <row r="45" hidden="1" outlineLevel="2" collapsed="1">
      <c r="A45" s="11" t="inlineStr"/>
      <c r="B45" s="6" t="n">
        <v>60000</v>
      </c>
      <c r="D45" s="6" t="n">
        <v>60000</v>
      </c>
      <c r="F45" s="6" t="n">
        <v>60000</v>
      </c>
    </row>
    <row r="46" hidden="1" outlineLevel="3" collapsed="1">
      <c r="A46" s="12" t="inlineStr">
        <is>
          <t>6310 - Freight and delivery costs</t>
        </is>
      </c>
      <c r="B46" s="6" t="n">
        <v>60000</v>
      </c>
      <c r="C46" s="7">
        <f>B46/$B$7</f>
        <v/>
      </c>
      <c r="D46" s="6" t="n">
        <v>60000</v>
      </c>
      <c r="E46" s="7">
        <f>D46/$D$7</f>
        <v/>
      </c>
      <c r="F46" s="6" t="n">
        <v>60000</v>
      </c>
      <c r="G46" s="7">
        <f>F46/$F$7</f>
        <v/>
      </c>
      <c r="I46" s="8">
        <f>F46-D46</f>
        <v/>
      </c>
      <c r="J46" s="9">
        <f>IF(D46=0,0,(F46/D46)-1)</f>
        <v/>
      </c>
    </row>
    <row r="47" hidden="1" outlineLevel="1" collapsed="1">
      <c r="A47" s="10" t="inlineStr">
        <is>
          <t>Insurance</t>
        </is>
      </c>
      <c r="B47" s="6" t="n">
        <v>10800</v>
      </c>
      <c r="C47" s="7">
        <f>B47/$B$7</f>
        <v/>
      </c>
      <c r="D47" s="6" t="n">
        <v>10800</v>
      </c>
      <c r="E47" s="7">
        <f>D47/$D$7</f>
        <v/>
      </c>
      <c r="F47" s="6" t="n">
        <v>10800</v>
      </c>
      <c r="G47" s="7">
        <f>F47/$F$7</f>
        <v/>
      </c>
      <c r="I47" s="8">
        <f>F47-D47</f>
        <v/>
      </c>
      <c r="J47" s="9">
        <f>IF(D47=0,0,(F47/D47)-1)</f>
        <v/>
      </c>
    </row>
    <row r="48" hidden="1" outlineLevel="2" collapsed="1">
      <c r="A48" s="11" t="inlineStr"/>
      <c r="B48" s="6" t="n">
        <v>10800</v>
      </c>
      <c r="D48" s="6" t="n">
        <v>10800</v>
      </c>
      <c r="F48" s="6" t="n">
        <v>10800</v>
      </c>
    </row>
    <row r="49" hidden="1" outlineLevel="3" collapsed="1">
      <c r="A49" s="12" t="inlineStr">
        <is>
          <t>6200 - Insurance - stores</t>
        </is>
      </c>
      <c r="B49" s="6" t="n">
        <v>4800</v>
      </c>
      <c r="C49" s="7">
        <f>B49/$B$7</f>
        <v/>
      </c>
      <c r="D49" s="6" t="n">
        <v>4800</v>
      </c>
      <c r="E49" s="7">
        <f>D49/$D$7</f>
        <v/>
      </c>
      <c r="F49" s="6" t="n">
        <v>4800</v>
      </c>
      <c r="G49" s="7">
        <f>F49/$F$7</f>
        <v/>
      </c>
      <c r="I49" s="8">
        <f>F49-D49</f>
        <v/>
      </c>
      <c r="J49" s="9">
        <f>IF(D49=0,0,(F49/D49)-1)</f>
        <v/>
      </c>
    </row>
    <row r="50" hidden="1" outlineLevel="3" collapsed="1">
      <c r="A50" s="12" t="inlineStr">
        <is>
          <t>6201 - Insurance - life insurance for Matthew Saturno</t>
        </is>
      </c>
      <c r="B50" s="6" t="n">
        <v>6000</v>
      </c>
      <c r="C50" s="7">
        <f>B50/$B$7</f>
        <v/>
      </c>
      <c r="D50" s="6" t="n">
        <v>6000</v>
      </c>
      <c r="E50" s="7">
        <f>D50/$D$7</f>
        <v/>
      </c>
      <c r="F50" s="6" t="n">
        <v>6000</v>
      </c>
      <c r="G50" s="7">
        <f>F50/$F$7</f>
        <v/>
      </c>
      <c r="I50" s="8">
        <f>F50-D50</f>
        <v/>
      </c>
      <c r="J50" s="9">
        <f>IF(D50=0,0,(F50/D50)-1)</f>
        <v/>
      </c>
    </row>
    <row r="51" hidden="1" outlineLevel="1" collapsed="1">
      <c r="A51" s="10" t="inlineStr">
        <is>
          <t>Interest expense</t>
        </is>
      </c>
      <c r="B51" s="6" t="n">
        <v>24215.5108843552</v>
      </c>
      <c r="C51" s="7">
        <f>B51/$B$7</f>
        <v/>
      </c>
      <c r="D51" s="6" t="n">
        <v>22431.77727676064</v>
      </c>
      <c r="E51" s="7">
        <f>D51/$D$7</f>
        <v/>
      </c>
      <c r="F51" s="6" t="n">
        <v>20972.43871048962</v>
      </c>
      <c r="G51" s="7">
        <f>F51/$F$7</f>
        <v/>
      </c>
      <c r="I51" s="8">
        <f>F51-D51</f>
        <v/>
      </c>
      <c r="J51" s="9">
        <f>IF(D51=0,0,(F51/D51)-1)</f>
        <v/>
      </c>
    </row>
    <row r="52" hidden="1" outlineLevel="2" collapsed="1">
      <c r="A52" s="11" t="inlineStr"/>
      <c r="B52" s="6" t="n">
        <v>24215.5108843552</v>
      </c>
      <c r="D52" s="6" t="n">
        <v>22431.77727676064</v>
      </c>
      <c r="F52" s="6" t="n">
        <v>20972.43871048962</v>
      </c>
    </row>
    <row r="53" hidden="1" outlineLevel="3" collapsed="1">
      <c r="A53" s="12" t="inlineStr">
        <is>
          <t>6700 - Interest on short term loans</t>
        </is>
      </c>
      <c r="B53" s="6" t="n">
        <v>5250</v>
      </c>
      <c r="C53" s="7">
        <f>B53/$B$7</f>
        <v/>
      </c>
      <c r="D53" s="6" t="n">
        <v>5250</v>
      </c>
      <c r="E53" s="7">
        <f>D53/$D$7</f>
        <v/>
      </c>
      <c r="F53" s="6" t="n">
        <v>5250</v>
      </c>
      <c r="G53" s="7">
        <f>F53/$F$7</f>
        <v/>
      </c>
      <c r="I53" s="8">
        <f>F53-D53</f>
        <v/>
      </c>
      <c r="J53" s="9">
        <f>IF(D53=0,0,(F53/D53)-1)</f>
        <v/>
      </c>
    </row>
    <row r="54" hidden="1" outlineLevel="3" collapsed="1">
      <c r="A54" s="12" t="inlineStr">
        <is>
          <t>6701 - Interest on long term loans</t>
        </is>
      </c>
      <c r="B54" s="6" t="n">
        <v>18965.5108843552</v>
      </c>
      <c r="C54" s="7">
        <f>B54/$B$7</f>
        <v/>
      </c>
      <c r="D54" s="6" t="n">
        <v>17181.77727676064</v>
      </c>
      <c r="E54" s="7">
        <f>D54/$D$7</f>
        <v/>
      </c>
      <c r="F54" s="6" t="n">
        <v>15722.43871048961</v>
      </c>
      <c r="G54" s="7">
        <f>F54/$F$7</f>
        <v/>
      </c>
      <c r="I54" s="8">
        <f>F54-D54</f>
        <v/>
      </c>
      <c r="J54" s="9">
        <f>IF(D54=0,0,(F54/D54)-1)</f>
        <v/>
      </c>
    </row>
    <row r="55" hidden="1" outlineLevel="1" collapsed="1">
      <c r="A55" s="10" t="inlineStr">
        <is>
          <t>Management salaries</t>
        </is>
      </c>
      <c r="B55" s="6" t="n">
        <v>180000</v>
      </c>
      <c r="C55" s="7">
        <f>B55/$B$7</f>
        <v/>
      </c>
      <c r="D55" s="6" t="n">
        <v>180000</v>
      </c>
      <c r="E55" s="7">
        <f>D55/$D$7</f>
        <v/>
      </c>
      <c r="F55" s="6" t="n">
        <v>180000</v>
      </c>
      <c r="G55" s="7">
        <f>F55/$F$7</f>
        <v/>
      </c>
      <c r="I55" s="8">
        <f>F55-D55</f>
        <v/>
      </c>
      <c r="J55" s="9">
        <f>IF(D55=0,0,(F55/D55)-1)</f>
        <v/>
      </c>
    </row>
    <row r="56" hidden="1" outlineLevel="2" collapsed="1">
      <c r="A56" s="11" t="inlineStr"/>
      <c r="B56" s="6" t="n">
        <v>180000</v>
      </c>
      <c r="D56" s="6" t="n">
        <v>180000</v>
      </c>
      <c r="F56" s="6" t="n">
        <v>180000</v>
      </c>
    </row>
    <row r="57" hidden="1" outlineLevel="3" collapsed="1">
      <c r="A57" s="12" t="inlineStr">
        <is>
          <t>6410 - Management salaries</t>
        </is>
      </c>
      <c r="B57" s="6" t="n">
        <v>180000</v>
      </c>
      <c r="C57" s="7">
        <f>B57/$B$7</f>
        <v/>
      </c>
      <c r="D57" s="6" t="n">
        <v>180000</v>
      </c>
      <c r="E57" s="7">
        <f>D57/$D$7</f>
        <v/>
      </c>
      <c r="F57" s="6" t="n">
        <v>180000</v>
      </c>
      <c r="G57" s="7">
        <f>F57/$F$7</f>
        <v/>
      </c>
      <c r="I57" s="8">
        <f>F57-D57</f>
        <v/>
      </c>
      <c r="J57" s="9">
        <f>IF(D57=0,0,(F57/D57)-1)</f>
        <v/>
      </c>
    </row>
    <row r="58" hidden="1" outlineLevel="1" collapsed="1">
      <c r="A58" s="10" t="inlineStr">
        <is>
          <t>Meals and entertainment</t>
        </is>
      </c>
      <c r="B58" s="6" t="n">
        <v>16800</v>
      </c>
      <c r="C58" s="7">
        <f>B58/$B$7</f>
        <v/>
      </c>
      <c r="D58" s="6" t="n">
        <v>16800</v>
      </c>
      <c r="E58" s="7">
        <f>D58/$D$7</f>
        <v/>
      </c>
      <c r="F58" s="6" t="n">
        <v>16800</v>
      </c>
      <c r="G58" s="7">
        <f>F58/$F$7</f>
        <v/>
      </c>
      <c r="I58" s="8">
        <f>F58-D58</f>
        <v/>
      </c>
      <c r="J58" s="9">
        <f>IF(D58=0,0,(F58/D58)-1)</f>
        <v/>
      </c>
    </row>
    <row r="59" hidden="1" outlineLevel="2" collapsed="1">
      <c r="A59" s="11" t="inlineStr"/>
      <c r="B59" s="6" t="n">
        <v>16800</v>
      </c>
      <c r="D59" s="6" t="n">
        <v>16800</v>
      </c>
      <c r="F59" s="6" t="n">
        <v>16800</v>
      </c>
    </row>
    <row r="60" hidden="1" outlineLevel="3" collapsed="1">
      <c r="A60" s="12" t="inlineStr">
        <is>
          <t>6500 - Client dinners</t>
        </is>
      </c>
      <c r="B60" s="6" t="n">
        <v>4800</v>
      </c>
      <c r="C60" s="7">
        <f>B60/$B$7</f>
        <v/>
      </c>
      <c r="D60" s="6" t="n">
        <v>4800</v>
      </c>
      <c r="E60" s="7">
        <f>D60/$D$7</f>
        <v/>
      </c>
      <c r="F60" s="6" t="n">
        <v>4800</v>
      </c>
      <c r="G60" s="7">
        <f>F60/$F$7</f>
        <v/>
      </c>
      <c r="I60" s="8">
        <f>F60-D60</f>
        <v/>
      </c>
      <c r="J60" s="9">
        <f>IF(D60=0,0,(F60/D60)-1)</f>
        <v/>
      </c>
    </row>
    <row r="61" hidden="1" outlineLevel="3" collapsed="1">
      <c r="A61" s="12" t="inlineStr">
        <is>
          <t>6501 - Jays/Leafs/Raptors tickets</t>
        </is>
      </c>
      <c r="B61" s="6" t="n">
        <v>4000</v>
      </c>
      <c r="C61" s="7">
        <f>B61/$B$7</f>
        <v/>
      </c>
      <c r="D61" s="6" t="n">
        <v>4000</v>
      </c>
      <c r="E61" s="7">
        <f>D61/$D$7</f>
        <v/>
      </c>
      <c r="F61" s="6" t="n">
        <v>4000</v>
      </c>
      <c r="G61" s="7">
        <f>F61/$F$7</f>
        <v/>
      </c>
      <c r="I61" s="8">
        <f>F61-D61</f>
        <v/>
      </c>
      <c r="J61" s="9">
        <f>IF(D61=0,0,(F61/D61)-1)</f>
        <v/>
      </c>
    </row>
    <row r="62" hidden="1" outlineLevel="3" collapsed="1">
      <c r="A62" s="12" t="inlineStr">
        <is>
          <t>6502 - Holiday parties</t>
        </is>
      </c>
      <c r="B62" s="6" t="n">
        <v>8000</v>
      </c>
      <c r="C62" s="7">
        <f>B62/$B$7</f>
        <v/>
      </c>
      <c r="D62" s="6" t="n">
        <v>8000</v>
      </c>
      <c r="E62" s="7">
        <f>D62/$D$7</f>
        <v/>
      </c>
      <c r="F62" s="6" t="n">
        <v>8000</v>
      </c>
      <c r="G62" s="7">
        <f>F62/$F$7</f>
        <v/>
      </c>
      <c r="I62" s="8">
        <f>F62-D62</f>
        <v/>
      </c>
      <c r="J62" s="9">
        <f>IF(D62=0,0,(F62/D62)-1)</f>
        <v/>
      </c>
    </row>
    <row r="63" hidden="1" outlineLevel="1" collapsed="1">
      <c r="A63" s="10" t="inlineStr">
        <is>
          <t>Office expenses</t>
        </is>
      </c>
      <c r="B63" s="6" t="n">
        <v>16200</v>
      </c>
      <c r="C63" s="7">
        <f>B63/$B$7</f>
        <v/>
      </c>
      <c r="D63" s="6" t="n">
        <v>16200</v>
      </c>
      <c r="E63" s="7">
        <f>D63/$D$7</f>
        <v/>
      </c>
      <c r="F63" s="6" t="n">
        <v>16200</v>
      </c>
      <c r="G63" s="7">
        <f>F63/$F$7</f>
        <v/>
      </c>
      <c r="I63" s="8">
        <f>F63-D63</f>
        <v/>
      </c>
      <c r="J63" s="9">
        <f>IF(D63=0,0,(F63/D63)-1)</f>
        <v/>
      </c>
    </row>
    <row r="64" hidden="1" outlineLevel="2" collapsed="1">
      <c r="A64" s="11" t="inlineStr"/>
      <c r="B64" s="6" t="n">
        <v>16200</v>
      </c>
      <c r="D64" s="6" t="n">
        <v>16200</v>
      </c>
      <c r="F64" s="6" t="n">
        <v>16200</v>
      </c>
    </row>
    <row r="65" hidden="1" outlineLevel="3" collapsed="1">
      <c r="A65" s="12" t="inlineStr">
        <is>
          <t>6300 - Office supplies</t>
        </is>
      </c>
      <c r="B65" s="6" t="n">
        <v>7200</v>
      </c>
      <c r="C65" s="7">
        <f>B65/$B$7</f>
        <v/>
      </c>
      <c r="D65" s="6" t="n">
        <v>7200</v>
      </c>
      <c r="E65" s="7">
        <f>D65/$D$7</f>
        <v/>
      </c>
      <c r="F65" s="6" t="n">
        <v>7200</v>
      </c>
      <c r="G65" s="7">
        <f>F65/$F$7</f>
        <v/>
      </c>
      <c r="I65" s="8">
        <f>F65-D65</f>
        <v/>
      </c>
      <c r="J65" s="9">
        <f>IF(D65=0,0,(F65/D65)-1)</f>
        <v/>
      </c>
    </row>
    <row r="66" hidden="1" outlineLevel="3" collapsed="1">
      <c r="A66" s="12" t="inlineStr">
        <is>
          <t>6301 - Mail/courier expenses</t>
        </is>
      </c>
      <c r="B66" s="6" t="n">
        <v>2400</v>
      </c>
      <c r="C66" s="7">
        <f>B66/$B$7</f>
        <v/>
      </c>
      <c r="D66" s="6" t="n">
        <v>2400</v>
      </c>
      <c r="E66" s="7">
        <f>D66/$D$7</f>
        <v/>
      </c>
      <c r="F66" s="6" t="n">
        <v>2400</v>
      </c>
      <c r="G66" s="7">
        <f>F66/$F$7</f>
        <v/>
      </c>
      <c r="I66" s="8">
        <f>F66-D66</f>
        <v/>
      </c>
      <c r="J66" s="9">
        <f>IF(D66=0,0,(F66/D66)-1)</f>
        <v/>
      </c>
    </row>
    <row r="67" hidden="1" outlineLevel="3" collapsed="1">
      <c r="A67" s="12" t="inlineStr">
        <is>
          <t>6302 - General office/store maintenance</t>
        </is>
      </c>
      <c r="B67" s="6" t="n">
        <v>3600</v>
      </c>
      <c r="C67" s="7">
        <f>B67/$B$7</f>
        <v/>
      </c>
      <c r="D67" s="6" t="n">
        <v>3600</v>
      </c>
      <c r="E67" s="7">
        <f>D67/$D$7</f>
        <v/>
      </c>
      <c r="F67" s="6" t="n">
        <v>3600</v>
      </c>
      <c r="G67" s="7">
        <f>F67/$F$7</f>
        <v/>
      </c>
      <c r="I67" s="8">
        <f>F67-D67</f>
        <v/>
      </c>
      <c r="J67" s="9">
        <f>IF(D67=0,0,(F67/D67)-1)</f>
        <v/>
      </c>
    </row>
    <row r="68" hidden="1" outlineLevel="3" collapsed="1">
      <c r="A68" s="12" t="inlineStr">
        <is>
          <t>6303 - Cleaning services</t>
        </is>
      </c>
      <c r="B68" s="6" t="n">
        <v>3000</v>
      </c>
      <c r="C68" s="7">
        <f>B68/$B$7</f>
        <v/>
      </c>
      <c r="D68" s="6" t="n">
        <v>3000</v>
      </c>
      <c r="E68" s="7">
        <f>D68/$D$7</f>
        <v/>
      </c>
      <c r="F68" s="6" t="n">
        <v>3000</v>
      </c>
      <c r="G68" s="7">
        <f>F68/$F$7</f>
        <v/>
      </c>
      <c r="I68" s="8">
        <f>F68-D68</f>
        <v/>
      </c>
      <c r="J68" s="9">
        <f>IF(D68=0,0,(F68/D68)-1)</f>
        <v/>
      </c>
    </row>
    <row r="69" hidden="1" outlineLevel="1" collapsed="1">
      <c r="A69" s="10" t="inlineStr">
        <is>
          <t>Professional fees</t>
        </is>
      </c>
      <c r="B69" s="6" t="n">
        <v>26400</v>
      </c>
      <c r="C69" s="7">
        <f>B69/$B$7</f>
        <v/>
      </c>
      <c r="D69" s="6" t="n">
        <v>45200</v>
      </c>
      <c r="E69" s="7">
        <f>D69/$D$7</f>
        <v/>
      </c>
      <c r="F69" s="6" t="n">
        <v>26400</v>
      </c>
      <c r="G69" s="7">
        <f>F69/$F$7</f>
        <v/>
      </c>
      <c r="I69" s="8">
        <f>F69-D69</f>
        <v/>
      </c>
      <c r="J69" s="9">
        <f>IF(D69=0,0,(F69/D69)-1)</f>
        <v/>
      </c>
    </row>
    <row r="70" hidden="1" outlineLevel="2" collapsed="1">
      <c r="A70" s="11" t="inlineStr">
        <is>
          <t>Accounting</t>
        </is>
      </c>
      <c r="B70" s="6" t="n">
        <v>12000</v>
      </c>
      <c r="C70" s="7">
        <f>B70/$B$7</f>
        <v/>
      </c>
      <c r="D70" s="6" t="n">
        <v>12000</v>
      </c>
      <c r="E70" s="7">
        <f>D70/$D$7</f>
        <v/>
      </c>
      <c r="F70" s="6" t="n">
        <v>12000</v>
      </c>
      <c r="G70" s="7">
        <f>F70/$F$7</f>
        <v/>
      </c>
      <c r="I70" s="8">
        <f>F70-D70</f>
        <v/>
      </c>
      <c r="J70" s="9">
        <f>IF(D70=0,0,(F70/D70)-1)</f>
        <v/>
      </c>
    </row>
    <row r="71" hidden="1" outlineLevel="3" collapsed="1">
      <c r="A71" s="12" t="inlineStr">
        <is>
          <t>6901 - Accounting costs</t>
        </is>
      </c>
      <c r="B71" s="6" t="n">
        <v>12000</v>
      </c>
      <c r="C71" s="7">
        <f>B71/$B$7</f>
        <v/>
      </c>
      <c r="D71" s="6" t="n">
        <v>12000</v>
      </c>
      <c r="E71" s="7">
        <f>D71/$D$7</f>
        <v/>
      </c>
      <c r="F71" s="6" t="n">
        <v>12000</v>
      </c>
      <c r="G71" s="7">
        <f>F71/$F$7</f>
        <v/>
      </c>
      <c r="I71" s="8">
        <f>F71-D71</f>
        <v/>
      </c>
      <c r="J71" s="9">
        <f>IF(D71=0,0,(F71/D71)-1)</f>
        <v/>
      </c>
    </row>
    <row r="72" hidden="1" outlineLevel="2" collapsed="1">
      <c r="A72" s="11" t="inlineStr">
        <is>
          <t>Legal</t>
        </is>
      </c>
      <c r="B72" s="6" t="n">
        <v>14400</v>
      </c>
      <c r="C72" s="7">
        <f>B72/$B$7</f>
        <v/>
      </c>
      <c r="D72" s="6" t="n">
        <v>33200</v>
      </c>
      <c r="E72" s="7">
        <f>D72/$D$7</f>
        <v/>
      </c>
      <c r="F72" s="6" t="n">
        <v>14400</v>
      </c>
      <c r="G72" s="7">
        <f>F72/$F$7</f>
        <v/>
      </c>
      <c r="I72" s="8">
        <f>F72-D72</f>
        <v/>
      </c>
      <c r="J72" s="9">
        <f>IF(D72=0,0,(F72/D72)-1)</f>
        <v/>
      </c>
    </row>
    <row r="73" hidden="1" outlineLevel="3" collapsed="1">
      <c r="A73" s="12" t="inlineStr">
        <is>
          <t>6900 - Legal costs</t>
        </is>
      </c>
      <c r="B73" s="6" t="n">
        <v>14400</v>
      </c>
      <c r="C73" s="7">
        <f>B73/$B$7</f>
        <v/>
      </c>
      <c r="D73" s="6" t="n">
        <v>33200</v>
      </c>
      <c r="E73" s="7">
        <f>D73/$D$7</f>
        <v/>
      </c>
      <c r="F73" s="6" t="n">
        <v>14400</v>
      </c>
      <c r="G73" s="7">
        <f>F73/$F$7</f>
        <v/>
      </c>
      <c r="I73" s="8">
        <f>F73-D73</f>
        <v/>
      </c>
      <c r="J73" s="9">
        <f>IF(D73=0,0,(F73/D73)-1)</f>
        <v/>
      </c>
    </row>
    <row r="74" hidden="1" outlineLevel="1" collapsed="1">
      <c r="A74" s="10" t="inlineStr">
        <is>
          <t>Rent</t>
        </is>
      </c>
      <c r="B74" s="6" t="n">
        <v>42000</v>
      </c>
      <c r="C74" s="7">
        <f>B74/$B$7</f>
        <v/>
      </c>
      <c r="D74" s="6" t="n">
        <v>42000</v>
      </c>
      <c r="E74" s="7">
        <f>D74/$D$7</f>
        <v/>
      </c>
      <c r="F74" s="6" t="n">
        <v>42000</v>
      </c>
      <c r="G74" s="7">
        <f>F74/$F$7</f>
        <v/>
      </c>
      <c r="I74" s="8">
        <f>F74-D74</f>
        <v/>
      </c>
      <c r="J74" s="9">
        <f>IF(D74=0,0,(F74/D74)-1)</f>
        <v/>
      </c>
    </row>
    <row r="75" hidden="1" outlineLevel="2" collapsed="1">
      <c r="A75" s="11" t="inlineStr"/>
      <c r="B75" s="6" t="n">
        <v>42000</v>
      </c>
      <c r="D75" s="6" t="n">
        <v>42000</v>
      </c>
      <c r="F75" s="6" t="n">
        <v>42000</v>
      </c>
    </row>
    <row r="76" hidden="1" outlineLevel="3" collapsed="1">
      <c r="A76" s="12" t="inlineStr">
        <is>
          <t>6210 - Rent</t>
        </is>
      </c>
      <c r="B76" s="6" t="n">
        <v>42000</v>
      </c>
      <c r="C76" s="7">
        <f>B76/$B$7</f>
        <v/>
      </c>
      <c r="D76" s="6" t="n">
        <v>42000</v>
      </c>
      <c r="E76" s="7">
        <f>D76/$D$7</f>
        <v/>
      </c>
      <c r="F76" s="6" t="n">
        <v>42000</v>
      </c>
      <c r="G76" s="7">
        <f>F76/$F$7</f>
        <v/>
      </c>
      <c r="I76" s="8">
        <f>F76-D76</f>
        <v/>
      </c>
      <c r="J76" s="9">
        <f>IF(D76=0,0,(F76/D76)-1)</f>
        <v/>
      </c>
    </row>
    <row r="77" hidden="1" outlineLevel="1" collapsed="1">
      <c r="A77" s="10" t="inlineStr">
        <is>
          <t>Salaries and wages</t>
        </is>
      </c>
      <c r="B77" s="6" t="n">
        <v>300000</v>
      </c>
      <c r="C77" s="7">
        <f>B77/$B$7</f>
        <v/>
      </c>
      <c r="D77" s="6" t="n">
        <v>300000</v>
      </c>
      <c r="E77" s="7">
        <f>D77/$D$7</f>
        <v/>
      </c>
      <c r="F77" s="6" t="n">
        <v>300000</v>
      </c>
      <c r="G77" s="7">
        <f>F77/$F$7</f>
        <v/>
      </c>
      <c r="I77" s="8">
        <f>F77-D77</f>
        <v/>
      </c>
      <c r="J77" s="9">
        <f>IF(D77=0,0,(F77/D77)-1)</f>
        <v/>
      </c>
    </row>
    <row r="78" hidden="1" outlineLevel="2" collapsed="1">
      <c r="A78" s="11" t="inlineStr"/>
      <c r="B78" s="6" t="n">
        <v>300000</v>
      </c>
      <c r="D78" s="6" t="n">
        <v>300000</v>
      </c>
      <c r="F78" s="6" t="n">
        <v>300000</v>
      </c>
    </row>
    <row r="79" hidden="1" outlineLevel="3" collapsed="1">
      <c r="A79" s="12" t="inlineStr">
        <is>
          <t>6411 - Admin salaries</t>
        </is>
      </c>
      <c r="B79" s="6" t="n">
        <v>120000</v>
      </c>
      <c r="C79" s="7">
        <f>B79/$B$7</f>
        <v/>
      </c>
      <c r="D79" s="6" t="n">
        <v>120000</v>
      </c>
      <c r="E79" s="7">
        <f>D79/$D$7</f>
        <v/>
      </c>
      <c r="F79" s="6" t="n">
        <v>120000</v>
      </c>
      <c r="G79" s="7">
        <f>F79/$F$7</f>
        <v/>
      </c>
      <c r="I79" s="8">
        <f>F79-D79</f>
        <v/>
      </c>
      <c r="J79" s="9">
        <f>IF(D79=0,0,(F79/D79)-1)</f>
        <v/>
      </c>
    </row>
    <row r="80" hidden="1" outlineLevel="3" collapsed="1">
      <c r="A80" s="12" t="inlineStr">
        <is>
          <t>6412 - Sales salaries</t>
        </is>
      </c>
      <c r="B80" s="6" t="n">
        <v>180000</v>
      </c>
      <c r="C80" s="7">
        <f>B80/$B$7</f>
        <v/>
      </c>
      <c r="D80" s="6" t="n">
        <v>180000</v>
      </c>
      <c r="E80" s="7">
        <f>D80/$D$7</f>
        <v/>
      </c>
      <c r="F80" s="6" t="n">
        <v>180000</v>
      </c>
      <c r="G80" s="7">
        <f>F80/$F$7</f>
        <v/>
      </c>
      <c r="I80" s="8">
        <f>F80-D80</f>
        <v/>
      </c>
      <c r="J80" s="9">
        <f>IF(D80=0,0,(F80/D80)-1)</f>
        <v/>
      </c>
    </row>
    <row r="81" hidden="1" outlineLevel="1" collapsed="1">
      <c r="A81" s="10" t="inlineStr">
        <is>
          <t>Telephone and internet</t>
        </is>
      </c>
      <c r="B81" s="6" t="n">
        <v>3600</v>
      </c>
      <c r="C81" s="7">
        <f>B81/$B$7</f>
        <v/>
      </c>
      <c r="D81" s="6" t="n">
        <v>3600</v>
      </c>
      <c r="E81" s="7">
        <f>D81/$D$7</f>
        <v/>
      </c>
      <c r="F81" s="6" t="n">
        <v>3600</v>
      </c>
      <c r="G81" s="7">
        <f>F81/$F$7</f>
        <v/>
      </c>
      <c r="I81" s="8">
        <f>F81-D81</f>
        <v/>
      </c>
      <c r="J81" s="9">
        <f>IF(D81=0,0,(F81/D81)-1)</f>
        <v/>
      </c>
    </row>
    <row r="82" hidden="1" outlineLevel="2" collapsed="1">
      <c r="A82" s="11" t="inlineStr"/>
      <c r="B82" s="6" t="n">
        <v>3600</v>
      </c>
      <c r="D82" s="6" t="n">
        <v>3600</v>
      </c>
      <c r="F82" s="6" t="n">
        <v>3600</v>
      </c>
    </row>
    <row r="83" hidden="1" outlineLevel="3" collapsed="1">
      <c r="A83" s="12" t="inlineStr">
        <is>
          <t>6600 - Telephone expenses</t>
        </is>
      </c>
      <c r="B83" s="6" t="n">
        <v>1200</v>
      </c>
      <c r="C83" s="7">
        <f>B83/$B$7</f>
        <v/>
      </c>
      <c r="D83" s="6" t="n">
        <v>1200</v>
      </c>
      <c r="E83" s="7">
        <f>D83/$D$7</f>
        <v/>
      </c>
      <c r="F83" s="6" t="n">
        <v>1200</v>
      </c>
      <c r="G83" s="7">
        <f>F83/$F$7</f>
        <v/>
      </c>
      <c r="I83" s="8">
        <f>F83-D83</f>
        <v/>
      </c>
      <c r="J83" s="9">
        <f>IF(D83=0,0,(F83/D83)-1)</f>
        <v/>
      </c>
    </row>
    <row r="84" hidden="1" outlineLevel="3" collapsed="1">
      <c r="A84" s="12" t="inlineStr">
        <is>
          <t>6601 - Internet expenses</t>
        </is>
      </c>
      <c r="B84" s="6" t="n">
        <v>2400</v>
      </c>
      <c r="C84" s="7">
        <f>B84/$B$7</f>
        <v/>
      </c>
      <c r="D84" s="6" t="n">
        <v>2400</v>
      </c>
      <c r="E84" s="7">
        <f>D84/$D$7</f>
        <v/>
      </c>
      <c r="F84" s="6" t="n">
        <v>2400</v>
      </c>
      <c r="G84" s="7">
        <f>F84/$F$7</f>
        <v/>
      </c>
      <c r="I84" s="8">
        <f>F84-D84</f>
        <v/>
      </c>
      <c r="J84" s="9">
        <f>IF(D84=0,0,(F84/D84)-1)</f>
        <v/>
      </c>
    </row>
    <row r="85" hidden="1" outlineLevel="1" collapsed="1">
      <c r="A85" s="10" t="inlineStr">
        <is>
          <t>Travel expenses</t>
        </is>
      </c>
      <c r="B85" s="6" t="n">
        <v>3600</v>
      </c>
      <c r="C85" s="7">
        <f>B85/$B$7</f>
        <v/>
      </c>
      <c r="D85" s="6" t="n">
        <v>3600</v>
      </c>
      <c r="E85" s="7">
        <f>D85/$D$7</f>
        <v/>
      </c>
      <c r="F85" s="6" t="n">
        <v>3600</v>
      </c>
      <c r="G85" s="7">
        <f>F85/$F$7</f>
        <v/>
      </c>
      <c r="I85" s="8">
        <f>F85-D85</f>
        <v/>
      </c>
      <c r="J85" s="9">
        <f>IF(D85=0,0,(F85/D85)-1)</f>
        <v/>
      </c>
    </row>
    <row r="86" hidden="1" outlineLevel="2" collapsed="1">
      <c r="A86" s="11" t="inlineStr"/>
      <c r="B86" s="6" t="n">
        <v>3600</v>
      </c>
      <c r="D86" s="6" t="n">
        <v>3600</v>
      </c>
      <c r="F86" s="6" t="n">
        <v>3600</v>
      </c>
    </row>
    <row r="87" hidden="1" outlineLevel="3" collapsed="1">
      <c r="A87" s="12" t="inlineStr">
        <is>
          <t>6503 - Travel expenses</t>
        </is>
      </c>
      <c r="B87" s="6" t="n">
        <v>3600</v>
      </c>
      <c r="C87" s="7">
        <f>B87/$B$7</f>
        <v/>
      </c>
      <c r="D87" s="6" t="n">
        <v>3600</v>
      </c>
      <c r="E87" s="7">
        <f>D87/$D$7</f>
        <v/>
      </c>
      <c r="F87" s="6" t="n">
        <v>3600</v>
      </c>
      <c r="G87" s="7">
        <f>F87/$F$7</f>
        <v/>
      </c>
      <c r="I87" s="8">
        <f>F87-D87</f>
        <v/>
      </c>
      <c r="J87" s="9">
        <f>IF(D87=0,0,(F87/D87)-1)</f>
        <v/>
      </c>
    </row>
    <row r="88" hidden="1" outlineLevel="1" collapsed="1">
      <c r="A88" s="10" t="inlineStr">
        <is>
          <t>Utilities</t>
        </is>
      </c>
      <c r="B88" s="6" t="n">
        <v>5400</v>
      </c>
      <c r="C88" s="7">
        <f>B88/$B$7</f>
        <v/>
      </c>
      <c r="D88" s="6" t="n">
        <v>5400</v>
      </c>
      <c r="E88" s="7">
        <f>D88/$D$7</f>
        <v/>
      </c>
      <c r="F88" s="6" t="n">
        <v>5400</v>
      </c>
      <c r="G88" s="7">
        <f>F88/$F$7</f>
        <v/>
      </c>
      <c r="I88" s="8">
        <f>F88-D88</f>
        <v/>
      </c>
      <c r="J88" s="9">
        <f>IF(D88=0,0,(F88/D88)-1)</f>
        <v/>
      </c>
    </row>
    <row r="89" hidden="1" outlineLevel="2" collapsed="1">
      <c r="A89" s="11" t="inlineStr"/>
      <c r="B89" s="6" t="n">
        <v>5400</v>
      </c>
      <c r="D89" s="6" t="n">
        <v>5400</v>
      </c>
      <c r="F89" s="6" t="n">
        <v>5400</v>
      </c>
    </row>
    <row r="90" hidden="1" outlineLevel="3" collapsed="1">
      <c r="A90" s="12" t="inlineStr">
        <is>
          <t>6400 - Gas</t>
        </is>
      </c>
      <c r="B90" s="6" t="n">
        <v>1800</v>
      </c>
      <c r="C90" s="7">
        <f>B90/$B$7</f>
        <v/>
      </c>
      <c r="D90" s="6" t="n">
        <v>1800</v>
      </c>
      <c r="E90" s="7">
        <f>D90/$D$7</f>
        <v/>
      </c>
      <c r="F90" s="6" t="n">
        <v>1800</v>
      </c>
      <c r="G90" s="7">
        <f>F90/$F$7</f>
        <v/>
      </c>
      <c r="I90" s="8">
        <f>F90-D90</f>
        <v/>
      </c>
      <c r="J90" s="9">
        <f>IF(D90=0,0,(F90/D90)-1)</f>
        <v/>
      </c>
    </row>
    <row r="91" hidden="1" outlineLevel="3" collapsed="1">
      <c r="A91" s="12" t="inlineStr">
        <is>
          <t>6401 - Electricity</t>
        </is>
      </c>
      <c r="B91" s="6" t="n">
        <v>2400</v>
      </c>
      <c r="C91" s="7">
        <f>B91/$B$7</f>
        <v/>
      </c>
      <c r="D91" s="6" t="n">
        <v>2400</v>
      </c>
      <c r="E91" s="7">
        <f>D91/$D$7</f>
        <v/>
      </c>
      <c r="F91" s="6" t="n">
        <v>2400</v>
      </c>
      <c r="G91" s="7">
        <f>F91/$F$7</f>
        <v/>
      </c>
      <c r="I91" s="8">
        <f>F91-D91</f>
        <v/>
      </c>
      <c r="J91" s="9">
        <f>IF(D91=0,0,(F91/D91)-1)</f>
        <v/>
      </c>
    </row>
    <row r="92" hidden="1" outlineLevel="3" collapsed="1">
      <c r="A92" s="12" t="inlineStr">
        <is>
          <t>6402 - Water</t>
        </is>
      </c>
      <c r="B92" s="6" t="n">
        <v>1200</v>
      </c>
      <c r="C92" s="7">
        <f>B92/$B$7</f>
        <v/>
      </c>
      <c r="D92" s="6" t="n">
        <v>1200</v>
      </c>
      <c r="E92" s="7">
        <f>D92/$D$7</f>
        <v/>
      </c>
      <c r="F92" s="6" t="n">
        <v>1200</v>
      </c>
      <c r="G92" s="7">
        <f>F92/$F$7</f>
        <v/>
      </c>
      <c r="I92" s="8">
        <f>F92-D92</f>
        <v/>
      </c>
      <c r="J92" s="9">
        <f>IF(D92=0,0,(F92/D92)-1)</f>
        <v/>
      </c>
    </row>
    <row r="93" hidden="1" outlineLevel="1" collapsed="1">
      <c r="A93" s="10" t="inlineStr">
        <is>
          <t>Vehicle expenses</t>
        </is>
      </c>
      <c r="B93" s="6" t="n">
        <v>6900</v>
      </c>
      <c r="C93" s="7">
        <f>B93/$B$7</f>
        <v/>
      </c>
      <c r="D93" s="6" t="n">
        <v>6900</v>
      </c>
      <c r="E93" s="7">
        <f>D93/$D$7</f>
        <v/>
      </c>
      <c r="F93" s="6" t="n">
        <v>6900</v>
      </c>
      <c r="G93" s="7">
        <f>F93/$F$7</f>
        <v/>
      </c>
      <c r="I93" s="8">
        <f>F93-D93</f>
        <v/>
      </c>
      <c r="J93" s="9">
        <f>IF(D93=0,0,(F93/D93)-1)</f>
        <v/>
      </c>
    </row>
    <row r="94" hidden="1" outlineLevel="2" collapsed="1">
      <c r="A94" s="11" t="inlineStr"/>
      <c r="B94" s="6" t="n">
        <v>6900</v>
      </c>
      <c r="D94" s="6" t="n">
        <v>6900</v>
      </c>
      <c r="F94" s="6" t="n">
        <v>6900</v>
      </c>
    </row>
    <row r="95" hidden="1" outlineLevel="3" collapsed="1">
      <c r="A95" s="12" t="inlineStr">
        <is>
          <t>6110 - Vehicle maintenance</t>
        </is>
      </c>
      <c r="B95" s="6" t="n">
        <v>1200</v>
      </c>
      <c r="C95" s="7">
        <f>B95/$B$7</f>
        <v/>
      </c>
      <c r="D95" s="6" t="n">
        <v>1200</v>
      </c>
      <c r="E95" s="7">
        <f>D95/$D$7</f>
        <v/>
      </c>
      <c r="F95" s="6" t="n">
        <v>1200</v>
      </c>
      <c r="G95" s="7">
        <f>F95/$F$7</f>
        <v/>
      </c>
      <c r="I95" s="8">
        <f>F95-D95</f>
        <v/>
      </c>
      <c r="J95" s="9">
        <f>IF(D95=0,0,(F95/D95)-1)</f>
        <v/>
      </c>
    </row>
    <row r="96" hidden="1" outlineLevel="3" collapsed="1">
      <c r="A96" s="12" t="inlineStr">
        <is>
          <t>6111 - Other vehicle expenses</t>
        </is>
      </c>
      <c r="B96" s="6" t="n">
        <v>1500</v>
      </c>
      <c r="C96" s="7">
        <f>B96/$B$7</f>
        <v/>
      </c>
      <c r="D96" s="6" t="n">
        <v>1500</v>
      </c>
      <c r="E96" s="7">
        <f>D96/$D$7</f>
        <v/>
      </c>
      <c r="F96" s="6" t="n">
        <v>1500</v>
      </c>
      <c r="G96" s="7">
        <f>F96/$F$7</f>
        <v/>
      </c>
      <c r="I96" s="8">
        <f>F96-D96</f>
        <v/>
      </c>
      <c r="J96" s="9">
        <f>IF(D96=0,0,(F96/D96)-1)</f>
        <v/>
      </c>
    </row>
    <row r="97" hidden="1" outlineLevel="3" collapsed="1">
      <c r="A97" s="12" t="inlineStr">
        <is>
          <t>6112 - Vehicle fuel</t>
        </is>
      </c>
      <c r="B97" s="6" t="n">
        <v>3600</v>
      </c>
      <c r="C97" s="7">
        <f>B97/$B$7</f>
        <v/>
      </c>
      <c r="D97" s="6" t="n">
        <v>3600</v>
      </c>
      <c r="E97" s="7">
        <f>D97/$D$7</f>
        <v/>
      </c>
      <c r="F97" s="6" t="n">
        <v>3600</v>
      </c>
      <c r="G97" s="7">
        <f>F97/$F$7</f>
        <v/>
      </c>
      <c r="I97" s="8">
        <f>F97-D97</f>
        <v/>
      </c>
      <c r="J97" s="9">
        <f>IF(D97=0,0,(F97/D97)-1)</f>
        <v/>
      </c>
    </row>
    <row r="98" hidden="1" outlineLevel="3" collapsed="1">
      <c r="A98" s="12" t="inlineStr">
        <is>
          <t>6304 - Parking</t>
        </is>
      </c>
      <c r="B98" s="6" t="n">
        <v>600</v>
      </c>
      <c r="C98" s="7">
        <f>B98/$B$7</f>
        <v/>
      </c>
      <c r="D98" s="6" t="n">
        <v>600</v>
      </c>
      <c r="E98" s="7">
        <f>D98/$D$7</f>
        <v/>
      </c>
      <c r="F98" s="6" t="n">
        <v>600</v>
      </c>
      <c r="G98" s="7">
        <f>F98/$F$7</f>
        <v/>
      </c>
      <c r="I98" s="8">
        <f>F98-D98</f>
        <v/>
      </c>
      <c r="J98" s="9">
        <f>IF(D98=0,0,(F98/D98)-1)</f>
        <v/>
      </c>
    </row>
    <row r="99"/>
    <row r="100">
      <c r="A100" s="13" t="inlineStr">
        <is>
          <t>Operating Margin</t>
        </is>
      </c>
      <c r="B100" s="14">
        <f>B21-B23</f>
        <v/>
      </c>
      <c r="C100" s="15">
        <f>B100/$B$7</f>
        <v/>
      </c>
      <c r="D100" s="14">
        <f>D21-D23</f>
        <v/>
      </c>
      <c r="E100" s="15">
        <f>D100/$D$7</f>
        <v/>
      </c>
      <c r="F100" s="14">
        <f>F21-F23</f>
        <v/>
      </c>
      <c r="G100" s="15">
        <f>F100/$F$7</f>
        <v/>
      </c>
      <c r="H100" s="13" t="n"/>
      <c r="I100" s="16">
        <f>F100-D100</f>
        <v/>
      </c>
      <c r="J100" s="17">
        <f>IF(D100=0,0,(F100/D100)-1)</f>
        <v/>
      </c>
    </row>
    <row r="101"/>
    <row r="102">
      <c r="A102" s="5" t="inlineStr">
        <is>
          <t>Other income/expenses</t>
        </is>
      </c>
      <c r="B102" s="6" t="n">
        <v>-15313.22356495867</v>
      </c>
      <c r="C102" s="7">
        <f>B102/$B$7</f>
        <v/>
      </c>
      <c r="D102" s="6" t="n">
        <v>-8004.223564958666</v>
      </c>
      <c r="E102" s="7">
        <f>D102/$D$7</f>
        <v/>
      </c>
      <c r="F102" s="6" t="n">
        <v>-8481.223564958666</v>
      </c>
      <c r="G102" s="7">
        <f>F102/$F$7</f>
        <v/>
      </c>
      <c r="I102" s="8">
        <f>F102-D102</f>
        <v/>
      </c>
      <c r="J102" s="9">
        <f>IF(D102=0,0,(F102/D102)-1)</f>
        <v/>
      </c>
    </row>
    <row r="103" hidden="1" outlineLevel="1" collapsed="1">
      <c r="A103" s="10" t="inlineStr">
        <is>
          <t>Foreign currency gains/losses</t>
        </is>
      </c>
      <c r="B103" s="6" t="n">
        <v>479.7764350413348</v>
      </c>
      <c r="C103" s="7">
        <f>B103/$B$7</f>
        <v/>
      </c>
      <c r="D103" s="6" t="n">
        <v>479.7764350413348</v>
      </c>
      <c r="E103" s="7">
        <f>D103/$D$7</f>
        <v/>
      </c>
      <c r="F103" s="6" t="n">
        <v>479.7764350413348</v>
      </c>
      <c r="G103" s="7">
        <f>F103/$F$7</f>
        <v/>
      </c>
      <c r="I103" s="8">
        <f>F103-D103</f>
        <v/>
      </c>
      <c r="J103" s="9">
        <f>IF(D103=0,0,(F103/D103)-1)</f>
        <v/>
      </c>
    </row>
    <row r="104" hidden="1" outlineLevel="2" collapsed="1">
      <c r="A104" s="11" t="inlineStr"/>
      <c r="B104" s="6" t="n">
        <v>479.7764350413348</v>
      </c>
      <c r="D104" s="6" t="n">
        <v>479.7764350413348</v>
      </c>
      <c r="F104" s="6" t="n">
        <v>479.7764350413348</v>
      </c>
    </row>
    <row r="105" hidden="1" outlineLevel="3" collapsed="1">
      <c r="A105" s="12" t="inlineStr">
        <is>
          <t>7002 - Foreign currency gains/losses</t>
        </is>
      </c>
      <c r="B105" s="6" t="n">
        <v>479.7764350413348</v>
      </c>
      <c r="C105" s="7">
        <f>B105/$B$7</f>
        <v/>
      </c>
      <c r="D105" s="6" t="n">
        <v>479.7764350413348</v>
      </c>
      <c r="E105" s="7">
        <f>D105/$D$7</f>
        <v/>
      </c>
      <c r="F105" s="6" t="n">
        <v>479.7764350413348</v>
      </c>
      <c r="G105" s="7">
        <f>F105/$F$7</f>
        <v/>
      </c>
      <c r="I105" s="8">
        <f>F105-D105</f>
        <v/>
      </c>
      <c r="J105" s="9">
        <f>IF(D105=0,0,(F105/D105)-1)</f>
        <v/>
      </c>
    </row>
    <row r="106" hidden="1" outlineLevel="1" collapsed="1">
      <c r="A106" s="10" t="inlineStr">
        <is>
          <t>Gains/losses on sale of equipment</t>
        </is>
      </c>
      <c r="B106" s="6" t="n">
        <v>-3793</v>
      </c>
      <c r="C106" s="7">
        <f>B106/$B$7</f>
        <v/>
      </c>
      <c r="D106" s="6" t="n">
        <v>3516</v>
      </c>
      <c r="E106" s="7">
        <f>D106/$D$7</f>
        <v/>
      </c>
      <c r="F106" s="6" t="n">
        <v>3039</v>
      </c>
      <c r="G106" s="7">
        <f>F106/$F$7</f>
        <v/>
      </c>
      <c r="I106" s="8">
        <f>F106-D106</f>
        <v/>
      </c>
      <c r="J106" s="9">
        <f>IF(D106=0,0,(F106/D106)-1)</f>
        <v/>
      </c>
    </row>
    <row r="107" hidden="1" outlineLevel="2" collapsed="1">
      <c r="A107" s="11" t="inlineStr"/>
      <c r="B107" s="6" t="n">
        <v>-3793</v>
      </c>
      <c r="D107" s="6" t="n">
        <v>3516</v>
      </c>
      <c r="F107" s="6" t="n">
        <v>3039</v>
      </c>
    </row>
    <row r="108" hidden="1" outlineLevel="3" collapsed="1">
      <c r="A108" s="12" t="inlineStr">
        <is>
          <t>7001 - Gains/losses on sale of equipment</t>
        </is>
      </c>
      <c r="B108" s="6" t="n">
        <v>-3793</v>
      </c>
      <c r="C108" s="7">
        <f>B108/$B$7</f>
        <v/>
      </c>
      <c r="D108" s="6" t="n">
        <v>3516</v>
      </c>
      <c r="E108" s="7">
        <f>D108/$D$7</f>
        <v/>
      </c>
      <c r="F108" s="6" t="n">
        <v>3039</v>
      </c>
      <c r="G108" s="7">
        <f>F108/$F$7</f>
        <v/>
      </c>
      <c r="I108" s="8">
        <f>F108-D108</f>
        <v/>
      </c>
      <c r="J108" s="9">
        <f>IF(D108=0,0,(F108/D108)-1)</f>
        <v/>
      </c>
    </row>
    <row r="109" hidden="1" outlineLevel="1" collapsed="1">
      <c r="A109" s="10" t="inlineStr">
        <is>
          <t>Investment income</t>
        </is>
      </c>
      <c r="B109" s="6" t="n">
        <v>-12000</v>
      </c>
      <c r="C109" s="7">
        <f>B109/$B$7</f>
        <v/>
      </c>
      <c r="D109" s="6" t="n">
        <v>-12000</v>
      </c>
      <c r="E109" s="7">
        <f>D109/$D$7</f>
        <v/>
      </c>
      <c r="F109" s="6" t="n">
        <v>-12000</v>
      </c>
      <c r="G109" s="7">
        <f>F109/$F$7</f>
        <v/>
      </c>
      <c r="I109" s="8">
        <f>F109-D109</f>
        <v/>
      </c>
      <c r="J109" s="9">
        <f>IF(D109=0,0,(F109/D109)-1)</f>
        <v/>
      </c>
    </row>
    <row r="110" hidden="1" outlineLevel="2" collapsed="1">
      <c r="A110" s="11" t="inlineStr"/>
      <c r="B110" s="6" t="n">
        <v>-12000</v>
      </c>
      <c r="D110" s="6" t="n">
        <v>-12000</v>
      </c>
      <c r="F110" s="6" t="n">
        <v>-12000</v>
      </c>
    </row>
    <row r="111" hidden="1" outlineLevel="3" collapsed="1">
      <c r="A111" s="12" t="inlineStr">
        <is>
          <t>7000 - Investment income</t>
        </is>
      </c>
      <c r="B111" s="6" t="n">
        <v>-12000</v>
      </c>
      <c r="C111" s="7">
        <f>B111/$B$7</f>
        <v/>
      </c>
      <c r="D111" s="6" t="n">
        <v>-12000</v>
      </c>
      <c r="E111" s="7">
        <f>D111/$D$7</f>
        <v/>
      </c>
      <c r="F111" s="6" t="n">
        <v>-12000</v>
      </c>
      <c r="G111" s="7">
        <f>F111/$F$7</f>
        <v/>
      </c>
      <c r="I111" s="8">
        <f>F111-D111</f>
        <v/>
      </c>
      <c r="J111" s="9">
        <f>IF(D111=0,0,(F111/D111)-1)</f>
        <v/>
      </c>
    </row>
    <row r="112"/>
    <row r="113">
      <c r="A113" s="13" t="inlineStr">
        <is>
          <t>Net Income Before Taxes</t>
        </is>
      </c>
      <c r="B113" s="14">
        <f>B100-B102</f>
        <v/>
      </c>
      <c r="C113" s="15">
        <f>B113/$B$7</f>
        <v/>
      </c>
      <c r="D113" s="14">
        <f>D100-D102</f>
        <v/>
      </c>
      <c r="E113" s="15">
        <f>D113/$D$7</f>
        <v/>
      </c>
      <c r="F113" s="14">
        <f>F100-F102</f>
        <v/>
      </c>
      <c r="G113" s="15">
        <f>F113/$F$7</f>
        <v/>
      </c>
      <c r="H113" s="13" t="n"/>
      <c r="I113" s="16">
        <f>F113-D113</f>
        <v/>
      </c>
      <c r="J113" s="17">
        <f>IF(D113=0,0,(F113/D113)-1)</f>
        <v/>
      </c>
    </row>
    <row r="114"/>
    <row r="115">
      <c r="A115" s="5" t="inlineStr">
        <is>
          <t>Income taxes</t>
        </is>
      </c>
      <c r="B115" s="6" t="n">
        <v>48000</v>
      </c>
      <c r="C115" s="7">
        <f>B115/$B$7</f>
        <v/>
      </c>
      <c r="D115" s="6" t="n">
        <v>48000</v>
      </c>
      <c r="E115" s="7">
        <f>D115/$D$7</f>
        <v/>
      </c>
      <c r="F115" s="6" t="n">
        <v>48000</v>
      </c>
      <c r="G115" s="7">
        <f>F115/$F$7</f>
        <v/>
      </c>
      <c r="I115" s="8">
        <f>F115-D115</f>
        <v/>
      </c>
      <c r="J115" s="9">
        <f>IF(D115=0,0,(F115/D115)-1)</f>
        <v/>
      </c>
    </row>
    <row r="116" hidden="1" outlineLevel="1" collapsed="1">
      <c r="A116" s="10" t="inlineStr">
        <is>
          <t>Income taxes</t>
        </is>
      </c>
      <c r="B116" s="6" t="n">
        <v>48000</v>
      </c>
      <c r="C116" s="7">
        <f>B116/$B$7</f>
        <v/>
      </c>
      <c r="D116" s="6" t="n">
        <v>48000</v>
      </c>
      <c r="E116" s="7">
        <f>D116/$D$7</f>
        <v/>
      </c>
      <c r="F116" s="6" t="n">
        <v>48000</v>
      </c>
      <c r="G116" s="7">
        <f>F116/$F$7</f>
        <v/>
      </c>
      <c r="I116" s="8">
        <f>F116-D116</f>
        <v/>
      </c>
      <c r="J116" s="9">
        <f>IF(D116=0,0,(F116/D116)-1)</f>
        <v/>
      </c>
    </row>
    <row r="117" hidden="1" outlineLevel="2" collapsed="1">
      <c r="A117" s="11" t="inlineStr"/>
      <c r="B117" s="6" t="n">
        <v>48000</v>
      </c>
      <c r="D117" s="6" t="n">
        <v>48000</v>
      </c>
      <c r="F117" s="6" t="n">
        <v>48000</v>
      </c>
    </row>
    <row r="118" hidden="1" outlineLevel="3" collapsed="1">
      <c r="A118" s="12" t="inlineStr">
        <is>
          <t>8000 - Income taxes</t>
        </is>
      </c>
      <c r="B118" s="6" t="n">
        <v>48000</v>
      </c>
      <c r="C118" s="7">
        <f>B118/$B$7</f>
        <v/>
      </c>
      <c r="D118" s="6" t="n">
        <v>48000</v>
      </c>
      <c r="E118" s="7">
        <f>D118/$D$7</f>
        <v/>
      </c>
      <c r="F118" s="6" t="n">
        <v>48000</v>
      </c>
      <c r="G118" s="7">
        <f>F118/$F$7</f>
        <v/>
      </c>
      <c r="I118" s="8">
        <f>F118-D118</f>
        <v/>
      </c>
      <c r="J118" s="9">
        <f>IF(D118=0,0,(F118/D118)-1)</f>
        <v/>
      </c>
    </row>
    <row r="119"/>
    <row r="120">
      <c r="A120" s="13" t="inlineStr">
        <is>
          <t>Net Income</t>
        </is>
      </c>
      <c r="B120" s="14">
        <f>B113-B115</f>
        <v/>
      </c>
      <c r="C120" s="15">
        <f>B120/$B$7</f>
        <v/>
      </c>
      <c r="D120" s="14">
        <f>D113-D115</f>
        <v/>
      </c>
      <c r="E120" s="15">
        <f>D120/$D$7</f>
        <v/>
      </c>
      <c r="F120" s="14">
        <f>F113-F115</f>
        <v/>
      </c>
      <c r="G120" s="15">
        <f>F120/$F$7</f>
        <v/>
      </c>
      <c r="H120" s="13" t="n"/>
      <c r="I120" s="16">
        <f>F120-D120</f>
        <v/>
      </c>
      <c r="J120" s="17">
        <f>IF(D120=0,0,(F120/D120)-1)</f>
        <v/>
      </c>
    </row>
    <row r="121"/>
    <row r="122" hidden="1" outlineLevel="2" collapsed="1">
      <c r="A122" s="10" t="inlineStr">
        <is>
          <t>Amortization</t>
        </is>
      </c>
      <c r="B122" s="18">
        <f>B32</f>
        <v/>
      </c>
      <c r="C122" s="19">
        <f>B122/$B$7</f>
        <v/>
      </c>
      <c r="D122" s="18">
        <f>D32</f>
        <v/>
      </c>
      <c r="E122" s="19">
        <f>D122/$D$7</f>
        <v/>
      </c>
      <c r="F122" s="18">
        <f>F32</f>
        <v/>
      </c>
      <c r="G122" s="19">
        <f>F122/$F$7</f>
        <v/>
      </c>
      <c r="I122" s="8">
        <f>F122-D122</f>
        <v/>
      </c>
      <c r="J122" s="9">
        <f>IF(D122=0,0,(F122/D122)-1)</f>
        <v/>
      </c>
    </row>
    <row r="123" hidden="1" outlineLevel="2" collapsed="1">
      <c r="A123" s="10" t="inlineStr">
        <is>
          <t>Interest expense</t>
        </is>
      </c>
      <c r="B123" s="18">
        <f>B51</f>
        <v/>
      </c>
      <c r="C123" s="19">
        <f>B123/$B$7</f>
        <v/>
      </c>
      <c r="D123" s="18">
        <f>D51</f>
        <v/>
      </c>
      <c r="E123" s="19">
        <f>D123/$D$7</f>
        <v/>
      </c>
      <c r="F123" s="18">
        <f>F51</f>
        <v/>
      </c>
      <c r="G123" s="19">
        <f>F123/$F$7</f>
        <v/>
      </c>
      <c r="I123" s="8">
        <f>F123-D123</f>
        <v/>
      </c>
      <c r="J123" s="9">
        <f>IF(D123=0,0,(F123/D123)-1)</f>
        <v/>
      </c>
    </row>
    <row r="124" hidden="1" outlineLevel="2" collapsed="1">
      <c r="A124" s="10" t="inlineStr">
        <is>
          <t>Income taxes</t>
        </is>
      </c>
      <c r="B124" s="18">
        <f>B115</f>
        <v/>
      </c>
      <c r="C124" s="19">
        <f>B124/$B$7</f>
        <v/>
      </c>
      <c r="D124" s="18">
        <f>D115</f>
        <v/>
      </c>
      <c r="E124" s="19">
        <f>D124/$D$7</f>
        <v/>
      </c>
      <c r="F124" s="18">
        <f>F115</f>
        <v/>
      </c>
      <c r="G124" s="19">
        <f>F124/$F$7</f>
        <v/>
      </c>
      <c r="I124" s="8">
        <f>F124-D124</f>
        <v/>
      </c>
      <c r="J124" s="9">
        <f>IF(D124=0,0,(F124/D124)-1)</f>
        <v/>
      </c>
    </row>
    <row r="125" hidden="1" outlineLevel="2" collapsed="1">
      <c r="A125" s="20" t="inlineStr">
        <is>
          <t>total</t>
        </is>
      </c>
      <c r="B125" s="14">
        <f>B122+B123+B124</f>
        <v/>
      </c>
      <c r="C125" s="15">
        <f>B125/$B$7</f>
        <v/>
      </c>
      <c r="D125" s="14">
        <f>D122+D123+D124</f>
        <v/>
      </c>
      <c r="E125" s="15">
        <f>D125/$D$7</f>
        <v/>
      </c>
      <c r="F125" s="14">
        <f>F122+F123+F124</f>
        <v/>
      </c>
      <c r="G125" s="15">
        <f>F125/$F$7</f>
        <v/>
      </c>
      <c r="I125" s="8">
        <f>F125-D125</f>
        <v/>
      </c>
      <c r="J125" s="9">
        <f>IF(D125=0,0,(F125/D125)-1)</f>
        <v/>
      </c>
    </row>
    <row r="126">
      <c r="A126" s="13" t="inlineStr">
        <is>
          <t>EBITDA</t>
        </is>
      </c>
      <c r="B126" s="14">
        <f>B120+B125</f>
        <v/>
      </c>
      <c r="C126" s="15">
        <f>B126/$B$7</f>
        <v/>
      </c>
      <c r="D126" s="14">
        <f>D120+D125</f>
        <v/>
      </c>
      <c r="E126" s="15">
        <f>D126/$D$7</f>
        <v/>
      </c>
      <c r="F126" s="14">
        <f>F120+F125</f>
        <v/>
      </c>
      <c r="G126" s="15">
        <f>F126/$F$7</f>
        <v/>
      </c>
      <c r="H126" s="13" t="n"/>
      <c r="I126" s="16">
        <f>F126-D126</f>
        <v/>
      </c>
      <c r="J126" s="17">
        <f>IF(D126=0,0,(F126/D126)-1)</f>
        <v/>
      </c>
    </row>
  </sheetData>
  <mergeCells count="5">
    <mergeCell ref="D6:E6"/>
    <mergeCell ref="B6:C6"/>
    <mergeCell ref="A1:J1"/>
    <mergeCell ref="I6:J6"/>
    <mergeCell ref="F6:G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applyStyles="1" summaryBelow="0" summaryRight="1" showOutlineSymbols="1"/>
    <pageSetUpPr/>
  </sheetPr>
  <dimension ref="A1:W131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Annual Income Statements</t>
        </is>
      </c>
    </row>
    <row r="2">
      <c r="A2" s="2" t="inlineStr">
        <is>
          <t>Your Company Name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2" t="inlineStr">
        <is>
          <t>(CAD)$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>
      <c r="A4" s="2" t="inlineStr">
        <is>
          <t>Year End: March 31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</row>
    <row r="5"/>
    <row r="6">
      <c r="B6" s="4" t="inlineStr">
        <is>
          <t>Q1 F2022</t>
        </is>
      </c>
      <c r="C6" s="4" t="inlineStr">
        <is>
          <t>Q2 F2022</t>
        </is>
      </c>
      <c r="D6" s="4" t="inlineStr">
        <is>
          <t>Q3 F2022</t>
        </is>
      </c>
      <c r="E6" s="4" t="inlineStr">
        <is>
          <t>Q4 F2022</t>
        </is>
      </c>
      <c r="F6" s="4" t="inlineStr">
        <is>
          <t>Q1 F2023</t>
        </is>
      </c>
      <c r="G6" s="4" t="inlineStr">
        <is>
          <t>Q2 F2023</t>
        </is>
      </c>
      <c r="H6" s="4" t="inlineStr">
        <is>
          <t>Q3 F2023</t>
        </is>
      </c>
      <c r="I6" s="4" t="inlineStr">
        <is>
          <t>Q4 F2023</t>
        </is>
      </c>
      <c r="J6" s="4" t="inlineStr">
        <is>
          <t>Q1 F2024</t>
        </is>
      </c>
      <c r="K6" s="4" t="inlineStr">
        <is>
          <t>Q2 F2024</t>
        </is>
      </c>
      <c r="L6" s="4" t="inlineStr">
        <is>
          <t>Q3 F2024</t>
        </is>
      </c>
    </row>
    <row r="7">
      <c r="A7" s="5" t="inlineStr">
        <is>
          <t>Sales</t>
        </is>
      </c>
      <c r="B7" s="6" t="n">
        <v>310590.72</v>
      </c>
      <c r="C7" s="6" t="n">
        <v>774123.8799999999</v>
      </c>
      <c r="D7" s="6" t="n">
        <v>880561.24</v>
      </c>
      <c r="E7" s="6" t="n">
        <v>305808.76</v>
      </c>
      <c r="F7" s="6" t="n">
        <v>405413.12</v>
      </c>
      <c r="G7" s="6" t="n">
        <v>1053137.44</v>
      </c>
      <c r="H7" s="6" t="n">
        <v>1220081.04</v>
      </c>
      <c r="I7" s="6" t="n">
        <v>413133.4</v>
      </c>
      <c r="J7" s="6" t="n">
        <v>517922.32</v>
      </c>
      <c r="K7" s="6" t="n">
        <v>1124900.36</v>
      </c>
      <c r="L7" s="6" t="n">
        <v>1389284.76</v>
      </c>
    </row>
    <row r="8" hidden="1" outlineLevel="1" collapsed="1">
      <c r="A8" s="10" t="inlineStr">
        <is>
          <t>Sales</t>
        </is>
      </c>
      <c r="B8" s="6" t="n">
        <v>310590.72</v>
      </c>
      <c r="C8" s="6" t="n">
        <v>774123.8799999999</v>
      </c>
      <c r="D8" s="6" t="n">
        <v>880561.24</v>
      </c>
      <c r="E8" s="6" t="n">
        <v>305808.76</v>
      </c>
      <c r="F8" s="6" t="n">
        <v>405413.12</v>
      </c>
      <c r="G8" s="6" t="n">
        <v>1053137.44</v>
      </c>
      <c r="H8" s="6" t="n">
        <v>1220081.04</v>
      </c>
      <c r="I8" s="6" t="n">
        <v>413133.4</v>
      </c>
      <c r="J8" s="6" t="n">
        <v>517922.32</v>
      </c>
      <c r="K8" s="6" t="n">
        <v>1124900.36</v>
      </c>
      <c r="L8" s="6" t="n">
        <v>1389284.76</v>
      </c>
    </row>
    <row r="9" hidden="1" outlineLevel="2" collapsed="1">
      <c r="A9" s="11" t="inlineStr">
        <is>
          <t>Hat sales</t>
        </is>
      </c>
      <c r="B9" s="6" t="n">
        <v>182025.28</v>
      </c>
      <c r="C9" s="6" t="n">
        <v>448430.3599999999</v>
      </c>
      <c r="D9" s="6" t="n">
        <v>504683.5599999999</v>
      </c>
      <c r="E9" s="6" t="n">
        <v>203137.84</v>
      </c>
      <c r="F9" s="6" t="n">
        <v>238796.12</v>
      </c>
      <c r="G9" s="6" t="n">
        <v>732710.0800000001</v>
      </c>
      <c r="H9" s="6" t="n">
        <v>783130.6799999998</v>
      </c>
      <c r="I9" s="6" t="n">
        <v>285693.4</v>
      </c>
      <c r="J9" s="6" t="n">
        <v>368432.32</v>
      </c>
      <c r="K9" s="6" t="n">
        <v>764180.36</v>
      </c>
      <c r="L9" s="6" t="n">
        <v>980594.7600000001</v>
      </c>
    </row>
    <row r="10" hidden="1" outlineLevel="3" collapsed="1">
      <c r="A10" s="12" t="inlineStr">
        <is>
          <t>4001 - Hat sales</t>
        </is>
      </c>
      <c r="B10" s="6" t="n">
        <v>182025.28</v>
      </c>
      <c r="C10" s="6" t="n">
        <v>448430.3599999999</v>
      </c>
      <c r="D10" s="6" t="n">
        <v>504683.5599999999</v>
      </c>
      <c r="E10" s="6" t="n">
        <v>203137.84</v>
      </c>
      <c r="F10" s="6" t="n">
        <v>238796.12</v>
      </c>
      <c r="G10" s="6" t="n">
        <v>732710.0800000001</v>
      </c>
      <c r="H10" s="6" t="n">
        <v>783130.6799999998</v>
      </c>
      <c r="I10" s="6" t="n">
        <v>285693.4</v>
      </c>
      <c r="J10" s="6" t="n">
        <v>368432.32</v>
      </c>
      <c r="K10" s="6" t="n">
        <v>764180.36</v>
      </c>
      <c r="L10" s="6" t="n">
        <v>980594.7600000001</v>
      </c>
    </row>
    <row r="11" hidden="1" outlineLevel="2" collapsed="1">
      <c r="A11" s="11" t="inlineStr">
        <is>
          <t>T-shirt sales</t>
        </is>
      </c>
      <c r="B11" s="6" t="n">
        <v>128565.44</v>
      </c>
      <c r="C11" s="6" t="n">
        <v>325693.52</v>
      </c>
      <c r="D11" s="6" t="n">
        <v>375877.68</v>
      </c>
      <c r="E11" s="6" t="n">
        <v>102670.92</v>
      </c>
      <c r="F11" s="6" t="n">
        <v>166617</v>
      </c>
      <c r="G11" s="6" t="n">
        <v>320427.36</v>
      </c>
      <c r="H11" s="6" t="n">
        <v>436950.3600000001</v>
      </c>
      <c r="I11" s="6" t="n">
        <v>127440</v>
      </c>
      <c r="J11" s="6" t="n">
        <v>149490</v>
      </c>
      <c r="K11" s="6" t="n">
        <v>360720</v>
      </c>
      <c r="L11" s="6" t="n">
        <v>408690</v>
      </c>
    </row>
    <row r="12" hidden="1" outlineLevel="3" collapsed="1">
      <c r="A12" s="12" t="inlineStr">
        <is>
          <t>4002 - T-shirt sales</t>
        </is>
      </c>
      <c r="B12" s="6" t="n">
        <v>128565.44</v>
      </c>
      <c r="C12" s="6" t="n">
        <v>325693.52</v>
      </c>
      <c r="D12" s="6" t="n">
        <v>375877.68</v>
      </c>
      <c r="E12" s="6" t="n">
        <v>102670.92</v>
      </c>
      <c r="F12" s="6" t="n">
        <v>166617</v>
      </c>
      <c r="G12" s="6" t="n">
        <v>320427.36</v>
      </c>
      <c r="H12" s="6" t="n">
        <v>436950.3600000001</v>
      </c>
      <c r="I12" s="6" t="n">
        <v>127440</v>
      </c>
      <c r="J12" s="6" t="n">
        <v>149490</v>
      </c>
      <c r="K12" s="6" t="n">
        <v>360720</v>
      </c>
      <c r="L12" s="6" t="n">
        <v>408690</v>
      </c>
    </row>
    <row r="13"/>
    <row r="14">
      <c r="A14" s="5" t="inlineStr">
        <is>
          <t>Cost of sales</t>
        </is>
      </c>
      <c r="B14" s="6" t="n">
        <v>118556.01812</v>
      </c>
      <c r="C14" s="6" t="n">
        <v>290492.66012</v>
      </c>
      <c r="D14" s="6" t="n">
        <v>346035.4549599999</v>
      </c>
      <c r="E14" s="6" t="n">
        <v>119142.71468</v>
      </c>
      <c r="F14" s="6" t="n">
        <v>150417.2386</v>
      </c>
      <c r="G14" s="6" t="n">
        <v>394114.22824</v>
      </c>
      <c r="H14" s="6" t="n">
        <v>462437.4564799999</v>
      </c>
      <c r="I14" s="6" t="n">
        <v>154962.5742</v>
      </c>
      <c r="J14" s="6" t="n">
        <v>196711.2518</v>
      </c>
      <c r="K14" s="6" t="n">
        <v>421957.54188</v>
      </c>
      <c r="L14" s="6" t="n">
        <v>541104.2016799999</v>
      </c>
    </row>
    <row r="15" hidden="1" outlineLevel="1" collapsed="1">
      <c r="A15" s="10" t="inlineStr">
        <is>
          <t>Cost of sales</t>
        </is>
      </c>
      <c r="B15" s="6" t="n">
        <v>118556.01812</v>
      </c>
      <c r="C15" s="6" t="n">
        <v>290492.66012</v>
      </c>
      <c r="D15" s="6" t="n">
        <v>346035.4549599999</v>
      </c>
      <c r="E15" s="6" t="n">
        <v>119142.71468</v>
      </c>
      <c r="F15" s="6" t="n">
        <v>150417.2386</v>
      </c>
      <c r="G15" s="6" t="n">
        <v>394114.22824</v>
      </c>
      <c r="H15" s="6" t="n">
        <v>462437.4564799999</v>
      </c>
      <c r="I15" s="6" t="n">
        <v>154962.5742</v>
      </c>
      <c r="J15" s="6" t="n">
        <v>196711.2518</v>
      </c>
      <c r="K15" s="6" t="n">
        <v>421957.54188</v>
      </c>
      <c r="L15" s="6" t="n">
        <v>541104.2016799999</v>
      </c>
    </row>
    <row r="16" hidden="1" outlineLevel="2" collapsed="1">
      <c r="A16" s="11" t="inlineStr">
        <is>
          <t>Hat cost of sales</t>
        </is>
      </c>
      <c r="B16" s="6" t="n">
        <v>76910.13068</v>
      </c>
      <c r="C16" s="6" t="n">
        <v>186569.1952</v>
      </c>
      <c r="D16" s="6" t="n">
        <v>219964.2852</v>
      </c>
      <c r="E16" s="6" t="n">
        <v>84172.87735999998</v>
      </c>
      <c r="F16" s="6" t="n">
        <v>93478.96071999999</v>
      </c>
      <c r="G16" s="6" t="n">
        <v>285264.88852</v>
      </c>
      <c r="H16" s="6" t="n">
        <v>307185.4782799999</v>
      </c>
      <c r="I16" s="6" t="n">
        <v>110783.0592</v>
      </c>
      <c r="J16" s="6" t="n">
        <v>143731.4918</v>
      </c>
      <c r="K16" s="6" t="n">
        <v>295356.56688</v>
      </c>
      <c r="L16" s="6" t="n">
        <v>388999.34168</v>
      </c>
    </row>
    <row r="17" hidden="1" outlineLevel="3" collapsed="1">
      <c r="A17" s="12" t="inlineStr">
        <is>
          <t>5001 - Hat cost of sales</t>
        </is>
      </c>
      <c r="B17" s="6" t="n">
        <v>76910.13068</v>
      </c>
      <c r="C17" s="6" t="n">
        <v>186569.1952</v>
      </c>
      <c r="D17" s="6" t="n">
        <v>219964.2852</v>
      </c>
      <c r="E17" s="6" t="n">
        <v>84172.87735999998</v>
      </c>
      <c r="F17" s="6" t="n">
        <v>93478.96071999999</v>
      </c>
      <c r="G17" s="6" t="n">
        <v>285264.88852</v>
      </c>
      <c r="H17" s="6" t="n">
        <v>307185.4782799999</v>
      </c>
      <c r="I17" s="6" t="n">
        <v>110783.0592</v>
      </c>
      <c r="J17" s="6" t="n">
        <v>143731.4918</v>
      </c>
      <c r="K17" s="6" t="n">
        <v>295356.56688</v>
      </c>
      <c r="L17" s="6" t="n">
        <v>388999.34168</v>
      </c>
    </row>
    <row r="18" hidden="1" outlineLevel="2" collapsed="1">
      <c r="A18" s="11" t="inlineStr">
        <is>
          <t>T-shirt cost of sales</t>
        </is>
      </c>
      <c r="B18" s="6" t="n">
        <v>41645.88744</v>
      </c>
      <c r="C18" s="6" t="n">
        <v>103923.46492</v>
      </c>
      <c r="D18" s="6" t="n">
        <v>126071.16976</v>
      </c>
      <c r="E18" s="6" t="n">
        <v>34969.83732</v>
      </c>
      <c r="F18" s="6" t="n">
        <v>56938.27788</v>
      </c>
      <c r="G18" s="6" t="n">
        <v>108849.33972</v>
      </c>
      <c r="H18" s="6" t="n">
        <v>155251.9782</v>
      </c>
      <c r="I18" s="6" t="n">
        <v>44179.515</v>
      </c>
      <c r="J18" s="6" t="n">
        <v>52979.76</v>
      </c>
      <c r="K18" s="6" t="n">
        <v>126600.975</v>
      </c>
      <c r="L18" s="6" t="n">
        <v>152104.86</v>
      </c>
    </row>
    <row r="19" hidden="1" outlineLevel="3" collapsed="1">
      <c r="A19" s="12" t="inlineStr">
        <is>
          <t>5002 - T-shirt cost of sales</t>
        </is>
      </c>
      <c r="B19" s="6" t="n">
        <v>41645.88744</v>
      </c>
      <c r="C19" s="6" t="n">
        <v>103923.46492</v>
      </c>
      <c r="D19" s="6" t="n">
        <v>126071.16976</v>
      </c>
      <c r="E19" s="6" t="n">
        <v>34969.83732</v>
      </c>
      <c r="F19" s="6" t="n">
        <v>56938.27788</v>
      </c>
      <c r="G19" s="6" t="n">
        <v>108849.33972</v>
      </c>
      <c r="H19" s="6" t="n">
        <v>155251.9782</v>
      </c>
      <c r="I19" s="6" t="n">
        <v>44179.515</v>
      </c>
      <c r="J19" s="6" t="n">
        <v>52979.76</v>
      </c>
      <c r="K19" s="6" t="n">
        <v>126600.975</v>
      </c>
      <c r="L19" s="6" t="n">
        <v>152104.86</v>
      </c>
    </row>
    <row r="20"/>
    <row r="21">
      <c r="A21" s="13" t="inlineStr">
        <is>
          <t>Gross Margin</t>
        </is>
      </c>
      <c r="B21" s="14">
        <f>B7-B14</f>
        <v/>
      </c>
      <c r="C21" s="14">
        <f>C7-C14</f>
        <v/>
      </c>
      <c r="D21" s="14">
        <f>D7-D14</f>
        <v/>
      </c>
      <c r="E21" s="14">
        <f>E7-E14</f>
        <v/>
      </c>
      <c r="F21" s="14">
        <f>F7-F14</f>
        <v/>
      </c>
      <c r="G21" s="14">
        <f>G7-G14</f>
        <v/>
      </c>
      <c r="H21" s="14">
        <f>H7-H14</f>
        <v/>
      </c>
      <c r="I21" s="14">
        <f>I7-I14</f>
        <v/>
      </c>
      <c r="J21" s="14">
        <f>J7-J14</f>
        <v/>
      </c>
      <c r="K21" s="14">
        <f>K7-K14</f>
        <v/>
      </c>
      <c r="L21" s="14">
        <f>L7-L14</f>
        <v/>
      </c>
      <c r="M21" s="13" t="n"/>
      <c r="N21" s="13" t="n"/>
      <c r="O21" s="13" t="n"/>
      <c r="P21" s="13" t="n"/>
      <c r="Q21" s="13" t="n"/>
      <c r="R21" s="13" t="n"/>
      <c r="S21" s="13" t="n"/>
      <c r="T21" s="13" t="n"/>
      <c r="U21" s="13" t="n"/>
      <c r="V21" s="13" t="n"/>
      <c r="W21" s="13" t="n"/>
    </row>
    <row r="22">
      <c r="A22" s="21" t="inlineStr">
        <is>
          <t>Gross Margin (%)</t>
        </is>
      </c>
      <c r="B22" s="19">
        <f>IF($B$7=0, 0, B21/$B$7)</f>
        <v/>
      </c>
      <c r="C22" s="19">
        <f>IF($C$7=0, 0, C21/$C$7)</f>
        <v/>
      </c>
      <c r="D22" s="19">
        <f>IF($D$7=0, 0, D21/$D$7)</f>
        <v/>
      </c>
      <c r="E22" s="19">
        <f>IF($E$7=0, 0, E21/$E$7)</f>
        <v/>
      </c>
      <c r="F22" s="19">
        <f>IF($F$7=0, 0, F21/$F$7)</f>
        <v/>
      </c>
      <c r="G22" s="19">
        <f>IF($G$7=0, 0, G21/$G$7)</f>
        <v/>
      </c>
      <c r="H22" s="19">
        <f>IF($H$7=0, 0, H21/$H$7)</f>
        <v/>
      </c>
      <c r="I22" s="19">
        <f>IF($I$7=0, 0, I21/$I$7)</f>
        <v/>
      </c>
      <c r="J22" s="19">
        <f>IF($J$7=0, 0, J21/$J$7)</f>
        <v/>
      </c>
      <c r="K22" s="19">
        <f>IF($K$7=0, 0, K21/$K$7)</f>
        <v/>
      </c>
      <c r="L22" s="19">
        <f>IF($L$7=0, 0, L21/$L$7)</f>
        <v/>
      </c>
    </row>
    <row r="23"/>
    <row r="24">
      <c r="A24" s="5" t="inlineStr">
        <is>
          <t>Operating expenses</t>
        </is>
      </c>
      <c r="B24" s="6" t="n">
        <v>203736.5702096194</v>
      </c>
      <c r="C24" s="6" t="n">
        <v>184633.1902312636</v>
      </c>
      <c r="D24" s="6" t="n">
        <v>188527.204156127</v>
      </c>
      <c r="E24" s="6" t="n">
        <v>184418.5462873452</v>
      </c>
      <c r="F24" s="6" t="n">
        <v>203307.1492719072</v>
      </c>
      <c r="G24" s="6" t="n">
        <v>202992.9440589058</v>
      </c>
      <c r="H24" s="6" t="n">
        <v>188075.8598567356</v>
      </c>
      <c r="I24" s="6" t="n">
        <v>183955.8240892121</v>
      </c>
      <c r="J24" s="6" t="n">
        <v>202832.7623505837</v>
      </c>
      <c r="K24" s="6" t="n">
        <v>183706.5983594111</v>
      </c>
      <c r="L24" s="6" t="n">
        <v>187577.2539112828</v>
      </c>
    </row>
    <row r="25" hidden="1" outlineLevel="1" collapsed="1">
      <c r="A25" s="10" t="inlineStr">
        <is>
          <t>Advertising and promotions</t>
        </is>
      </c>
      <c r="B25" s="6" t="n">
        <v>19500</v>
      </c>
      <c r="C25" s="6" t="n">
        <v>4500</v>
      </c>
      <c r="D25" s="6" t="n">
        <v>4500</v>
      </c>
      <c r="E25" s="6" t="n">
        <v>4500</v>
      </c>
      <c r="F25" s="6" t="n">
        <v>19500</v>
      </c>
      <c r="G25" s="6" t="n">
        <v>4500</v>
      </c>
      <c r="H25" s="6" t="n">
        <v>4500</v>
      </c>
      <c r="I25" s="6" t="n">
        <v>4500</v>
      </c>
      <c r="J25" s="6" t="n">
        <v>19500</v>
      </c>
      <c r="K25" s="6" t="n">
        <v>4500</v>
      </c>
      <c r="L25" s="6" t="n">
        <v>4500</v>
      </c>
    </row>
    <row r="26" hidden="1" outlineLevel="2" collapsed="1">
      <c r="A26" s="11" t="inlineStr">
        <is>
          <t>Donations</t>
        </is>
      </c>
      <c r="B26" s="6" t="n">
        <v>5000</v>
      </c>
      <c r="C26" s="6" t="n">
        <v>0</v>
      </c>
      <c r="D26" s="6" t="n">
        <v>0</v>
      </c>
      <c r="E26" s="6" t="n">
        <v>0</v>
      </c>
      <c r="F26" s="6" t="n">
        <v>5000</v>
      </c>
      <c r="G26" s="6" t="n">
        <v>0</v>
      </c>
      <c r="H26" s="6" t="n">
        <v>0</v>
      </c>
      <c r="I26" s="6" t="n">
        <v>0</v>
      </c>
      <c r="J26" s="6" t="n">
        <v>5000</v>
      </c>
      <c r="K26" s="6" t="n">
        <v>0</v>
      </c>
      <c r="L26" s="6" t="n">
        <v>0</v>
      </c>
    </row>
    <row r="27" hidden="1" outlineLevel="3" collapsed="1">
      <c r="A27" s="12" t="inlineStr">
        <is>
          <t>6003 - Donations - golf tournaments</t>
        </is>
      </c>
      <c r="B27" s="6" t="n">
        <v>5000</v>
      </c>
      <c r="C27" s="6" t="n">
        <v>0</v>
      </c>
      <c r="D27" s="6" t="n">
        <v>0</v>
      </c>
      <c r="E27" s="6" t="n">
        <v>0</v>
      </c>
      <c r="F27" s="6" t="n">
        <v>5000</v>
      </c>
      <c r="G27" s="6" t="n">
        <v>0</v>
      </c>
      <c r="H27" s="6" t="n">
        <v>0</v>
      </c>
      <c r="I27" s="6" t="n">
        <v>0</v>
      </c>
      <c r="J27" s="6" t="n">
        <v>5000</v>
      </c>
      <c r="K27" s="6" t="n">
        <v>0</v>
      </c>
      <c r="L27" s="6" t="n">
        <v>0</v>
      </c>
    </row>
    <row r="28" hidden="1" outlineLevel="2" collapsed="1">
      <c r="A28" s="11" t="inlineStr">
        <is>
          <t>Other Advertising and promotions</t>
        </is>
      </c>
      <c r="B28" s="6" t="n">
        <v>1500</v>
      </c>
      <c r="C28" s="6" t="n">
        <v>1500</v>
      </c>
      <c r="D28" s="6" t="n">
        <v>1500</v>
      </c>
      <c r="E28" s="6" t="n">
        <v>1500</v>
      </c>
      <c r="F28" s="6" t="n">
        <v>1500</v>
      </c>
      <c r="G28" s="6" t="n">
        <v>1500</v>
      </c>
      <c r="H28" s="6" t="n">
        <v>1500</v>
      </c>
      <c r="I28" s="6" t="n">
        <v>1500</v>
      </c>
      <c r="J28" s="6" t="n">
        <v>1500</v>
      </c>
      <c r="K28" s="6" t="n">
        <v>1500</v>
      </c>
      <c r="L28" s="6" t="n">
        <v>1500</v>
      </c>
    </row>
    <row r="29" hidden="1" outlineLevel="3" collapsed="1">
      <c r="A29" s="12" t="inlineStr">
        <is>
          <t>6002 - Promotion - commercials</t>
        </is>
      </c>
      <c r="B29" s="6" t="n">
        <v>1500</v>
      </c>
      <c r="C29" s="6" t="n">
        <v>1500</v>
      </c>
      <c r="D29" s="6" t="n">
        <v>1500</v>
      </c>
      <c r="E29" s="6" t="n">
        <v>1500</v>
      </c>
      <c r="F29" s="6" t="n">
        <v>1500</v>
      </c>
      <c r="G29" s="6" t="n">
        <v>1500</v>
      </c>
      <c r="H29" s="6" t="n">
        <v>1500</v>
      </c>
      <c r="I29" s="6" t="n">
        <v>1500</v>
      </c>
      <c r="J29" s="6" t="n">
        <v>1500</v>
      </c>
      <c r="K29" s="6" t="n">
        <v>1500</v>
      </c>
      <c r="L29" s="6" t="n">
        <v>1500</v>
      </c>
    </row>
    <row r="30" hidden="1" outlineLevel="2" collapsed="1">
      <c r="A30" s="11" t="inlineStr">
        <is>
          <t>Promotions/ads</t>
        </is>
      </c>
      <c r="B30" s="6" t="n">
        <v>13000</v>
      </c>
      <c r="C30" s="6" t="n">
        <v>3000</v>
      </c>
      <c r="D30" s="6" t="n">
        <v>3000</v>
      </c>
      <c r="E30" s="6" t="n">
        <v>3000</v>
      </c>
      <c r="F30" s="6" t="n">
        <v>13000</v>
      </c>
      <c r="G30" s="6" t="n">
        <v>3000</v>
      </c>
      <c r="H30" s="6" t="n">
        <v>3000</v>
      </c>
      <c r="I30" s="6" t="n">
        <v>3000</v>
      </c>
      <c r="J30" s="6" t="n">
        <v>13000</v>
      </c>
      <c r="K30" s="6" t="n">
        <v>3000</v>
      </c>
      <c r="L30" s="6" t="n">
        <v>3000</v>
      </c>
    </row>
    <row r="31" hidden="1" outlineLevel="3" collapsed="1">
      <c r="A31" s="12" t="inlineStr">
        <is>
          <t>6000 - Online marketing ads</t>
        </is>
      </c>
      <c r="B31" s="6" t="n">
        <v>3000</v>
      </c>
      <c r="C31" s="6" t="n">
        <v>3000</v>
      </c>
      <c r="D31" s="6" t="n">
        <v>3000</v>
      </c>
      <c r="E31" s="6" t="n">
        <v>3000</v>
      </c>
      <c r="F31" s="6" t="n">
        <v>3000</v>
      </c>
      <c r="G31" s="6" t="n">
        <v>3000</v>
      </c>
      <c r="H31" s="6" t="n">
        <v>3000</v>
      </c>
      <c r="I31" s="6" t="n">
        <v>3000</v>
      </c>
      <c r="J31" s="6" t="n">
        <v>3000</v>
      </c>
      <c r="K31" s="6" t="n">
        <v>3000</v>
      </c>
      <c r="L31" s="6" t="n">
        <v>3000</v>
      </c>
    </row>
    <row r="32" hidden="1" outlineLevel="3" collapsed="1">
      <c r="A32" s="12" t="inlineStr">
        <is>
          <t>6001 - Promotion - trade shows</t>
        </is>
      </c>
      <c r="B32" s="6" t="n">
        <v>10000</v>
      </c>
      <c r="C32" s="6" t="n">
        <v>0</v>
      </c>
      <c r="D32" s="6" t="n">
        <v>0</v>
      </c>
      <c r="E32" s="6" t="n">
        <v>0</v>
      </c>
      <c r="F32" s="6" t="n">
        <v>10000</v>
      </c>
      <c r="G32" s="6" t="n">
        <v>0</v>
      </c>
      <c r="H32" s="6" t="n">
        <v>0</v>
      </c>
      <c r="I32" s="6" t="n">
        <v>0</v>
      </c>
      <c r="J32" s="6" t="n">
        <v>10000</v>
      </c>
      <c r="K32" s="6" t="n">
        <v>0</v>
      </c>
      <c r="L32" s="6" t="n">
        <v>0</v>
      </c>
    </row>
    <row r="33" hidden="1" outlineLevel="1" collapsed="1">
      <c r="A33" s="10" t="inlineStr">
        <is>
          <t>Amortization</t>
        </is>
      </c>
      <c r="B33" s="6" t="n">
        <v>1500</v>
      </c>
      <c r="C33" s="6" t="n">
        <v>1500</v>
      </c>
      <c r="D33" s="6" t="n">
        <v>1500</v>
      </c>
      <c r="E33" s="6" t="n">
        <v>1500</v>
      </c>
      <c r="F33" s="6" t="n">
        <v>1500</v>
      </c>
      <c r="G33" s="6" t="n">
        <v>1500</v>
      </c>
      <c r="H33" s="6" t="n">
        <v>1500</v>
      </c>
      <c r="I33" s="6" t="n">
        <v>1500</v>
      </c>
      <c r="J33" s="6" t="n">
        <v>1500</v>
      </c>
      <c r="K33" s="6" t="n">
        <v>1500</v>
      </c>
      <c r="L33" s="6" t="n">
        <v>1500</v>
      </c>
    </row>
    <row r="34" hidden="1" outlineLevel="2" collapsed="1">
      <c r="A34" s="11" t="inlineStr"/>
      <c r="B34" s="6" t="n">
        <v>1500</v>
      </c>
      <c r="C34" s="6" t="n">
        <v>1500</v>
      </c>
      <c r="D34" s="6" t="n">
        <v>1500</v>
      </c>
      <c r="E34" s="6" t="n">
        <v>1500</v>
      </c>
      <c r="F34" s="6" t="n">
        <v>1500</v>
      </c>
      <c r="G34" s="6" t="n">
        <v>1500</v>
      </c>
      <c r="H34" s="6" t="n">
        <v>1500</v>
      </c>
      <c r="I34" s="6" t="n">
        <v>1500</v>
      </c>
      <c r="J34" s="6" t="n">
        <v>1500</v>
      </c>
      <c r="K34" s="6" t="n">
        <v>1500</v>
      </c>
      <c r="L34" s="6" t="n">
        <v>1500</v>
      </c>
    </row>
    <row r="35" hidden="1" outlineLevel="3" collapsed="1">
      <c r="A35" s="12" t="inlineStr">
        <is>
          <t>6101 - Amortization - software</t>
        </is>
      </c>
      <c r="B35" s="6" t="n">
        <v>1500</v>
      </c>
      <c r="C35" s="6" t="n">
        <v>1500</v>
      </c>
      <c r="D35" s="6" t="n">
        <v>1500</v>
      </c>
      <c r="E35" s="6" t="n">
        <v>1500</v>
      </c>
      <c r="F35" s="6" t="n">
        <v>1500</v>
      </c>
      <c r="G35" s="6" t="n">
        <v>1500</v>
      </c>
      <c r="H35" s="6" t="n">
        <v>1500</v>
      </c>
      <c r="I35" s="6" t="n">
        <v>1500</v>
      </c>
      <c r="J35" s="6" t="n">
        <v>1500</v>
      </c>
      <c r="K35" s="6" t="n">
        <v>1500</v>
      </c>
      <c r="L35" s="6" t="n">
        <v>1500</v>
      </c>
    </row>
    <row r="36" hidden="1" outlineLevel="1" collapsed="1">
      <c r="A36" s="10" t="inlineStr">
        <is>
          <t>Bad debt</t>
        </is>
      </c>
      <c r="B36" s="6" t="n">
        <v>3000</v>
      </c>
      <c r="C36" s="6" t="n">
        <v>3000</v>
      </c>
      <c r="D36" s="6" t="n">
        <v>3000</v>
      </c>
      <c r="E36" s="6" t="n">
        <v>3000</v>
      </c>
      <c r="F36" s="6" t="n">
        <v>3000</v>
      </c>
      <c r="G36" s="6" t="n">
        <v>3000</v>
      </c>
      <c r="H36" s="6" t="n">
        <v>3000</v>
      </c>
      <c r="I36" s="6" t="n">
        <v>3000</v>
      </c>
      <c r="J36" s="6" t="n">
        <v>3000</v>
      </c>
      <c r="K36" s="6" t="n">
        <v>3000</v>
      </c>
      <c r="L36" s="6" t="n">
        <v>3000</v>
      </c>
    </row>
    <row r="37" hidden="1" outlineLevel="2" collapsed="1">
      <c r="A37" s="11" t="inlineStr"/>
      <c r="B37" s="6" t="n">
        <v>3000</v>
      </c>
      <c r="C37" s="6" t="n">
        <v>3000</v>
      </c>
      <c r="D37" s="6" t="n">
        <v>3000</v>
      </c>
      <c r="E37" s="6" t="n">
        <v>3000</v>
      </c>
      <c r="F37" s="6" t="n">
        <v>3000</v>
      </c>
      <c r="G37" s="6" t="n">
        <v>3000</v>
      </c>
      <c r="H37" s="6" t="n">
        <v>3000</v>
      </c>
      <c r="I37" s="6" t="n">
        <v>3000</v>
      </c>
      <c r="J37" s="6" t="n">
        <v>3000</v>
      </c>
      <c r="K37" s="6" t="n">
        <v>3000</v>
      </c>
      <c r="L37" s="6" t="n">
        <v>3000</v>
      </c>
    </row>
    <row r="38" hidden="1" outlineLevel="3" collapsed="1">
      <c r="A38" s="12" t="inlineStr">
        <is>
          <t>6800 - Customer write-offs</t>
        </is>
      </c>
      <c r="B38" s="6" t="n">
        <v>3000</v>
      </c>
      <c r="C38" s="6" t="n">
        <v>3000</v>
      </c>
      <c r="D38" s="6" t="n">
        <v>3000</v>
      </c>
      <c r="E38" s="6" t="n">
        <v>3000</v>
      </c>
      <c r="F38" s="6" t="n">
        <v>3000</v>
      </c>
      <c r="G38" s="6" t="n">
        <v>3000</v>
      </c>
      <c r="H38" s="6" t="n">
        <v>3000</v>
      </c>
      <c r="I38" s="6" t="n">
        <v>3000</v>
      </c>
      <c r="J38" s="6" t="n">
        <v>3000</v>
      </c>
      <c r="K38" s="6" t="n">
        <v>3000</v>
      </c>
      <c r="L38" s="6" t="n">
        <v>3000</v>
      </c>
    </row>
    <row r="39" hidden="1" outlineLevel="1" collapsed="1">
      <c r="A39" s="10" t="inlineStr">
        <is>
          <t>Bank fees</t>
        </is>
      </c>
      <c r="B39" s="6" t="n">
        <v>600</v>
      </c>
      <c r="C39" s="6" t="n">
        <v>600</v>
      </c>
      <c r="D39" s="6" t="n">
        <v>600</v>
      </c>
      <c r="E39" s="6" t="n">
        <v>600</v>
      </c>
      <c r="F39" s="6" t="n">
        <v>600</v>
      </c>
      <c r="G39" s="6" t="n">
        <v>600</v>
      </c>
      <c r="H39" s="6" t="n">
        <v>600</v>
      </c>
      <c r="I39" s="6" t="n">
        <v>600</v>
      </c>
      <c r="J39" s="6" t="n">
        <v>600</v>
      </c>
      <c r="K39" s="6" t="n">
        <v>600</v>
      </c>
      <c r="L39" s="6" t="n">
        <v>600</v>
      </c>
    </row>
    <row r="40" hidden="1" outlineLevel="2" collapsed="1">
      <c r="A40" s="11" t="inlineStr"/>
      <c r="B40" s="6" t="n">
        <v>600</v>
      </c>
      <c r="C40" s="6" t="n">
        <v>600</v>
      </c>
      <c r="D40" s="6" t="n">
        <v>600</v>
      </c>
      <c r="E40" s="6" t="n">
        <v>600</v>
      </c>
      <c r="F40" s="6" t="n">
        <v>600</v>
      </c>
      <c r="G40" s="6" t="n">
        <v>600</v>
      </c>
      <c r="H40" s="6" t="n">
        <v>600</v>
      </c>
      <c r="I40" s="6" t="n">
        <v>600</v>
      </c>
      <c r="J40" s="6" t="n">
        <v>600</v>
      </c>
      <c r="K40" s="6" t="n">
        <v>600</v>
      </c>
      <c r="L40" s="6" t="n">
        <v>600</v>
      </c>
    </row>
    <row r="41" hidden="1" outlineLevel="3" collapsed="1">
      <c r="A41" s="12" t="inlineStr">
        <is>
          <t>6702 - Bank charges</t>
        </is>
      </c>
      <c r="B41" s="6" t="n">
        <v>600</v>
      </c>
      <c r="C41" s="6" t="n">
        <v>600</v>
      </c>
      <c r="D41" s="6" t="n">
        <v>600</v>
      </c>
      <c r="E41" s="6" t="n">
        <v>600</v>
      </c>
      <c r="F41" s="6" t="n">
        <v>600</v>
      </c>
      <c r="G41" s="6" t="n">
        <v>600</v>
      </c>
      <c r="H41" s="6" t="n">
        <v>600</v>
      </c>
      <c r="I41" s="6" t="n">
        <v>600</v>
      </c>
      <c r="J41" s="6" t="n">
        <v>600</v>
      </c>
      <c r="K41" s="6" t="n">
        <v>600</v>
      </c>
      <c r="L41" s="6" t="n">
        <v>600</v>
      </c>
    </row>
    <row r="42" hidden="1" outlineLevel="1" collapsed="1">
      <c r="A42" s="10" t="inlineStr">
        <is>
          <t>Depreciation</t>
        </is>
      </c>
      <c r="B42" s="6" t="n">
        <v>3000</v>
      </c>
      <c r="C42" s="6" t="n">
        <v>3000</v>
      </c>
      <c r="D42" s="6" t="n">
        <v>3000</v>
      </c>
      <c r="E42" s="6" t="n">
        <v>3000</v>
      </c>
      <c r="F42" s="6" t="n">
        <v>3000</v>
      </c>
      <c r="G42" s="6" t="n">
        <v>3000</v>
      </c>
      <c r="H42" s="6" t="n">
        <v>3000</v>
      </c>
      <c r="I42" s="6" t="n">
        <v>3000</v>
      </c>
      <c r="J42" s="6" t="n">
        <v>3000</v>
      </c>
      <c r="K42" s="6" t="n">
        <v>3000</v>
      </c>
      <c r="L42" s="6" t="n">
        <v>3000</v>
      </c>
    </row>
    <row r="43" hidden="1" outlineLevel="2" collapsed="1">
      <c r="A43" s="11" t="inlineStr"/>
      <c r="B43" s="6" t="n">
        <v>3000</v>
      </c>
      <c r="C43" s="6" t="n">
        <v>3000</v>
      </c>
      <c r="D43" s="6" t="n">
        <v>3000</v>
      </c>
      <c r="E43" s="6" t="n">
        <v>3000</v>
      </c>
      <c r="F43" s="6" t="n">
        <v>3000</v>
      </c>
      <c r="G43" s="6" t="n">
        <v>3000</v>
      </c>
      <c r="H43" s="6" t="n">
        <v>3000</v>
      </c>
      <c r="I43" s="6" t="n">
        <v>3000</v>
      </c>
      <c r="J43" s="6" t="n">
        <v>3000</v>
      </c>
      <c r="K43" s="6" t="n">
        <v>3000</v>
      </c>
      <c r="L43" s="6" t="n">
        <v>3000</v>
      </c>
    </row>
    <row r="44" hidden="1" outlineLevel="3" collapsed="1">
      <c r="A44" s="12" t="inlineStr">
        <is>
          <t>6100 - Depreciation - fixed assets</t>
        </is>
      </c>
      <c r="B44" s="6" t="n">
        <v>3000</v>
      </c>
      <c r="C44" s="6" t="n">
        <v>3000</v>
      </c>
      <c r="D44" s="6" t="n">
        <v>3000</v>
      </c>
      <c r="E44" s="6" t="n">
        <v>3000</v>
      </c>
      <c r="F44" s="6" t="n">
        <v>3000</v>
      </c>
      <c r="G44" s="6" t="n">
        <v>3000</v>
      </c>
      <c r="H44" s="6" t="n">
        <v>3000</v>
      </c>
      <c r="I44" s="6" t="n">
        <v>3000</v>
      </c>
      <c r="J44" s="6" t="n">
        <v>3000</v>
      </c>
      <c r="K44" s="6" t="n">
        <v>3000</v>
      </c>
      <c r="L44" s="6" t="n">
        <v>3000</v>
      </c>
    </row>
    <row r="45" hidden="1" outlineLevel="1" collapsed="1">
      <c r="A45" s="10" t="inlineStr">
        <is>
          <t>Freight</t>
        </is>
      </c>
      <c r="B45" s="6" t="n">
        <v>15000</v>
      </c>
      <c r="C45" s="6" t="n">
        <v>15000</v>
      </c>
      <c r="D45" s="6" t="n">
        <v>15000</v>
      </c>
      <c r="E45" s="6" t="n">
        <v>15000</v>
      </c>
      <c r="F45" s="6" t="n">
        <v>15000</v>
      </c>
      <c r="G45" s="6" t="n">
        <v>15000</v>
      </c>
      <c r="H45" s="6" t="n">
        <v>15000</v>
      </c>
      <c r="I45" s="6" t="n">
        <v>15000</v>
      </c>
      <c r="J45" s="6" t="n">
        <v>15000</v>
      </c>
      <c r="K45" s="6" t="n">
        <v>15000</v>
      </c>
      <c r="L45" s="6" t="n">
        <v>15000</v>
      </c>
    </row>
    <row r="46" hidden="1" outlineLevel="2" collapsed="1">
      <c r="A46" s="11" t="inlineStr"/>
      <c r="B46" s="6" t="n">
        <v>15000</v>
      </c>
      <c r="C46" s="6" t="n">
        <v>15000</v>
      </c>
      <c r="D46" s="6" t="n">
        <v>15000</v>
      </c>
      <c r="E46" s="6" t="n">
        <v>15000</v>
      </c>
      <c r="F46" s="6" t="n">
        <v>15000</v>
      </c>
      <c r="G46" s="6" t="n">
        <v>15000</v>
      </c>
      <c r="H46" s="6" t="n">
        <v>15000</v>
      </c>
      <c r="I46" s="6" t="n">
        <v>15000</v>
      </c>
      <c r="J46" s="6" t="n">
        <v>15000</v>
      </c>
      <c r="K46" s="6" t="n">
        <v>15000</v>
      </c>
      <c r="L46" s="6" t="n">
        <v>15000</v>
      </c>
    </row>
    <row r="47" hidden="1" outlineLevel="3" collapsed="1">
      <c r="A47" s="12" t="inlineStr">
        <is>
          <t>6310 - Freight and delivery costs</t>
        </is>
      </c>
      <c r="B47" s="6" t="n">
        <v>15000</v>
      </c>
      <c r="C47" s="6" t="n">
        <v>15000</v>
      </c>
      <c r="D47" s="6" t="n">
        <v>15000</v>
      </c>
      <c r="E47" s="6" t="n">
        <v>15000</v>
      </c>
      <c r="F47" s="6" t="n">
        <v>15000</v>
      </c>
      <c r="G47" s="6" t="n">
        <v>15000</v>
      </c>
      <c r="H47" s="6" t="n">
        <v>15000</v>
      </c>
      <c r="I47" s="6" t="n">
        <v>15000</v>
      </c>
      <c r="J47" s="6" t="n">
        <v>15000</v>
      </c>
      <c r="K47" s="6" t="n">
        <v>15000</v>
      </c>
      <c r="L47" s="6" t="n">
        <v>15000</v>
      </c>
    </row>
    <row r="48" hidden="1" outlineLevel="1" collapsed="1">
      <c r="A48" s="10" t="inlineStr">
        <is>
          <t>Insurance</t>
        </is>
      </c>
      <c r="B48" s="6" t="n">
        <v>2700</v>
      </c>
      <c r="C48" s="6" t="n">
        <v>2700</v>
      </c>
      <c r="D48" s="6" t="n">
        <v>2700</v>
      </c>
      <c r="E48" s="6" t="n">
        <v>2700</v>
      </c>
      <c r="F48" s="6" t="n">
        <v>2700</v>
      </c>
      <c r="G48" s="6" t="n">
        <v>2700</v>
      </c>
      <c r="H48" s="6" t="n">
        <v>2700</v>
      </c>
      <c r="I48" s="6" t="n">
        <v>2700</v>
      </c>
      <c r="J48" s="6" t="n">
        <v>2700</v>
      </c>
      <c r="K48" s="6" t="n">
        <v>2700</v>
      </c>
      <c r="L48" s="6" t="n">
        <v>2700</v>
      </c>
    </row>
    <row r="49" hidden="1" outlineLevel="2" collapsed="1">
      <c r="A49" s="11" t="inlineStr"/>
      <c r="B49" s="6" t="n">
        <v>2700</v>
      </c>
      <c r="C49" s="6" t="n">
        <v>2700</v>
      </c>
      <c r="D49" s="6" t="n">
        <v>2700</v>
      </c>
      <c r="E49" s="6" t="n">
        <v>2700</v>
      </c>
      <c r="F49" s="6" t="n">
        <v>2700</v>
      </c>
      <c r="G49" s="6" t="n">
        <v>2700</v>
      </c>
      <c r="H49" s="6" t="n">
        <v>2700</v>
      </c>
      <c r="I49" s="6" t="n">
        <v>2700</v>
      </c>
      <c r="J49" s="6" t="n">
        <v>2700</v>
      </c>
      <c r="K49" s="6" t="n">
        <v>2700</v>
      </c>
      <c r="L49" s="6" t="n">
        <v>2700</v>
      </c>
    </row>
    <row r="50" hidden="1" outlineLevel="3" collapsed="1">
      <c r="A50" s="12" t="inlineStr">
        <is>
          <t>6200 - Insurance - stores</t>
        </is>
      </c>
      <c r="B50" s="6" t="n">
        <v>1200</v>
      </c>
      <c r="C50" s="6" t="n">
        <v>1200</v>
      </c>
      <c r="D50" s="6" t="n">
        <v>1200</v>
      </c>
      <c r="E50" s="6" t="n">
        <v>1200</v>
      </c>
      <c r="F50" s="6" t="n">
        <v>1200</v>
      </c>
      <c r="G50" s="6" t="n">
        <v>1200</v>
      </c>
      <c r="H50" s="6" t="n">
        <v>1200</v>
      </c>
      <c r="I50" s="6" t="n">
        <v>1200</v>
      </c>
      <c r="J50" s="6" t="n">
        <v>1200</v>
      </c>
      <c r="K50" s="6" t="n">
        <v>1200</v>
      </c>
      <c r="L50" s="6" t="n">
        <v>1200</v>
      </c>
    </row>
    <row r="51" hidden="1" outlineLevel="3" collapsed="1">
      <c r="A51" s="12" t="inlineStr">
        <is>
          <t>6201 - Insurance - life insurance for Matthew Saturno</t>
        </is>
      </c>
      <c r="B51" s="6" t="n">
        <v>1500</v>
      </c>
      <c r="C51" s="6" t="n">
        <v>1500</v>
      </c>
      <c r="D51" s="6" t="n">
        <v>1500</v>
      </c>
      <c r="E51" s="6" t="n">
        <v>1500</v>
      </c>
      <c r="F51" s="6" t="n">
        <v>1500</v>
      </c>
      <c r="G51" s="6" t="n">
        <v>1500</v>
      </c>
      <c r="H51" s="6" t="n">
        <v>1500</v>
      </c>
      <c r="I51" s="6" t="n">
        <v>1500</v>
      </c>
      <c r="J51" s="6" t="n">
        <v>1500</v>
      </c>
      <c r="K51" s="6" t="n">
        <v>1500</v>
      </c>
      <c r="L51" s="6" t="n">
        <v>1500</v>
      </c>
    </row>
    <row r="52" hidden="1" outlineLevel="1" collapsed="1">
      <c r="A52" s="10" t="inlineStr">
        <is>
          <t>Interest expense</t>
        </is>
      </c>
      <c r="B52" s="6" t="n">
        <v>6211.570209619344</v>
      </c>
      <c r="C52" s="6" t="n">
        <v>6108.190231263572</v>
      </c>
      <c r="D52" s="6" t="n">
        <v>6002.20415612704</v>
      </c>
      <c r="E52" s="6" t="n">
        <v>5893.546287345241</v>
      </c>
      <c r="F52" s="6" t="n">
        <v>5782.149271907188</v>
      </c>
      <c r="G52" s="6" t="n">
        <v>5667.94405890577</v>
      </c>
      <c r="H52" s="6" t="n">
        <v>5550.859856735628</v>
      </c>
      <c r="I52" s="6" t="n">
        <v>5430.824089212052</v>
      </c>
      <c r="J52" s="6" t="n">
        <v>5307.762350583675</v>
      </c>
      <c r="K52" s="6" t="n">
        <v>5181.598359411091</v>
      </c>
      <c r="L52" s="6" t="n">
        <v>5052.253911282796</v>
      </c>
    </row>
    <row r="53" hidden="1" outlineLevel="2" collapsed="1">
      <c r="A53" s="11" t="inlineStr"/>
      <c r="B53" s="6" t="n">
        <v>6211.570209619344</v>
      </c>
      <c r="C53" s="6" t="n">
        <v>6108.190231263572</v>
      </c>
      <c r="D53" s="6" t="n">
        <v>6002.20415612704</v>
      </c>
      <c r="E53" s="6" t="n">
        <v>5893.546287345241</v>
      </c>
      <c r="F53" s="6" t="n">
        <v>5782.149271907188</v>
      </c>
      <c r="G53" s="6" t="n">
        <v>5667.94405890577</v>
      </c>
      <c r="H53" s="6" t="n">
        <v>5550.859856735628</v>
      </c>
      <c r="I53" s="6" t="n">
        <v>5430.824089212052</v>
      </c>
      <c r="J53" s="6" t="n">
        <v>5307.762350583675</v>
      </c>
      <c r="K53" s="6" t="n">
        <v>5181.598359411091</v>
      </c>
      <c r="L53" s="6" t="n">
        <v>5052.253911282796</v>
      </c>
    </row>
    <row r="54" hidden="1" outlineLevel="3" collapsed="1">
      <c r="A54" s="12" t="inlineStr">
        <is>
          <t>6700 - Interest on short term loans</t>
        </is>
      </c>
      <c r="B54" s="6" t="n">
        <v>1312.5</v>
      </c>
      <c r="C54" s="6" t="n">
        <v>1312.5</v>
      </c>
      <c r="D54" s="6" t="n">
        <v>1312.5</v>
      </c>
      <c r="E54" s="6" t="n">
        <v>1312.5</v>
      </c>
      <c r="F54" s="6" t="n">
        <v>1312.5</v>
      </c>
      <c r="G54" s="6" t="n">
        <v>1312.5</v>
      </c>
      <c r="H54" s="6" t="n">
        <v>1312.5</v>
      </c>
      <c r="I54" s="6" t="n">
        <v>1312.5</v>
      </c>
      <c r="J54" s="6" t="n">
        <v>1312.5</v>
      </c>
      <c r="K54" s="6" t="n">
        <v>1312.5</v>
      </c>
      <c r="L54" s="6" t="n">
        <v>1312.5</v>
      </c>
    </row>
    <row r="55" hidden="1" outlineLevel="3" collapsed="1">
      <c r="A55" s="12" t="inlineStr">
        <is>
          <t>6701 - Interest on long term loans</t>
        </is>
      </c>
      <c r="B55" s="6" t="n">
        <v>4899.070209619344</v>
      </c>
      <c r="C55" s="6" t="n">
        <v>4795.690231263572</v>
      </c>
      <c r="D55" s="6" t="n">
        <v>4689.70415612704</v>
      </c>
      <c r="E55" s="6" t="n">
        <v>4581.046287345241</v>
      </c>
      <c r="F55" s="6" t="n">
        <v>4469.649271907188</v>
      </c>
      <c r="G55" s="6" t="n">
        <v>4355.44405890577</v>
      </c>
      <c r="H55" s="6" t="n">
        <v>4238.359856735628</v>
      </c>
      <c r="I55" s="6" t="n">
        <v>4118.324089212052</v>
      </c>
      <c r="J55" s="6" t="n">
        <v>3995.262350583675</v>
      </c>
      <c r="K55" s="6" t="n">
        <v>3869.098359411091</v>
      </c>
      <c r="L55" s="6" t="n">
        <v>3739.753911282796</v>
      </c>
    </row>
    <row r="56" hidden="1" outlineLevel="1" collapsed="1">
      <c r="A56" s="10" t="inlineStr">
        <is>
          <t>Management salaries</t>
        </is>
      </c>
      <c r="B56" s="6" t="n">
        <v>45000</v>
      </c>
      <c r="C56" s="6" t="n">
        <v>45000</v>
      </c>
      <c r="D56" s="6" t="n">
        <v>45000</v>
      </c>
      <c r="E56" s="6" t="n">
        <v>45000</v>
      </c>
      <c r="F56" s="6" t="n">
        <v>45000</v>
      </c>
      <c r="G56" s="6" t="n">
        <v>45000</v>
      </c>
      <c r="H56" s="6" t="n">
        <v>45000</v>
      </c>
      <c r="I56" s="6" t="n">
        <v>45000</v>
      </c>
      <c r="J56" s="6" t="n">
        <v>45000</v>
      </c>
      <c r="K56" s="6" t="n">
        <v>45000</v>
      </c>
      <c r="L56" s="6" t="n">
        <v>45000</v>
      </c>
    </row>
    <row r="57" hidden="1" outlineLevel="2" collapsed="1">
      <c r="A57" s="11" t="inlineStr"/>
      <c r="B57" s="6" t="n">
        <v>45000</v>
      </c>
      <c r="C57" s="6" t="n">
        <v>45000</v>
      </c>
      <c r="D57" s="6" t="n">
        <v>45000</v>
      </c>
      <c r="E57" s="6" t="n">
        <v>45000</v>
      </c>
      <c r="F57" s="6" t="n">
        <v>45000</v>
      </c>
      <c r="G57" s="6" t="n">
        <v>45000</v>
      </c>
      <c r="H57" s="6" t="n">
        <v>45000</v>
      </c>
      <c r="I57" s="6" t="n">
        <v>45000</v>
      </c>
      <c r="J57" s="6" t="n">
        <v>45000</v>
      </c>
      <c r="K57" s="6" t="n">
        <v>45000</v>
      </c>
      <c r="L57" s="6" t="n">
        <v>45000</v>
      </c>
    </row>
    <row r="58" hidden="1" outlineLevel="3" collapsed="1">
      <c r="A58" s="12" t="inlineStr">
        <is>
          <t>6410 - Management salaries</t>
        </is>
      </c>
      <c r="B58" s="6" t="n">
        <v>45000</v>
      </c>
      <c r="C58" s="6" t="n">
        <v>45000</v>
      </c>
      <c r="D58" s="6" t="n">
        <v>45000</v>
      </c>
      <c r="E58" s="6" t="n">
        <v>45000</v>
      </c>
      <c r="F58" s="6" t="n">
        <v>45000</v>
      </c>
      <c r="G58" s="6" t="n">
        <v>45000</v>
      </c>
      <c r="H58" s="6" t="n">
        <v>45000</v>
      </c>
      <c r="I58" s="6" t="n">
        <v>45000</v>
      </c>
      <c r="J58" s="6" t="n">
        <v>45000</v>
      </c>
      <c r="K58" s="6" t="n">
        <v>45000</v>
      </c>
      <c r="L58" s="6" t="n">
        <v>45000</v>
      </c>
    </row>
    <row r="59" hidden="1" outlineLevel="1" collapsed="1">
      <c r="A59" s="10" t="inlineStr">
        <is>
          <t>Meals and entertainment</t>
        </is>
      </c>
      <c r="B59" s="6" t="n">
        <v>6200</v>
      </c>
      <c r="C59" s="6" t="n">
        <v>2200</v>
      </c>
      <c r="D59" s="6" t="n">
        <v>6200</v>
      </c>
      <c r="E59" s="6" t="n">
        <v>2200</v>
      </c>
      <c r="F59" s="6" t="n">
        <v>6200</v>
      </c>
      <c r="G59" s="6" t="n">
        <v>2200</v>
      </c>
      <c r="H59" s="6" t="n">
        <v>6200</v>
      </c>
      <c r="I59" s="6" t="n">
        <v>2200</v>
      </c>
      <c r="J59" s="6" t="n">
        <v>6200</v>
      </c>
      <c r="K59" s="6" t="n">
        <v>2200</v>
      </c>
      <c r="L59" s="6" t="n">
        <v>6200</v>
      </c>
    </row>
    <row r="60" hidden="1" outlineLevel="2" collapsed="1">
      <c r="A60" s="11" t="inlineStr"/>
      <c r="B60" s="6" t="n">
        <v>6200</v>
      </c>
      <c r="C60" s="6" t="n">
        <v>2200</v>
      </c>
      <c r="D60" s="6" t="n">
        <v>6200</v>
      </c>
      <c r="E60" s="6" t="n">
        <v>2200</v>
      </c>
      <c r="F60" s="6" t="n">
        <v>6200</v>
      </c>
      <c r="G60" s="6" t="n">
        <v>2200</v>
      </c>
      <c r="H60" s="6" t="n">
        <v>6200</v>
      </c>
      <c r="I60" s="6" t="n">
        <v>2200</v>
      </c>
      <c r="J60" s="6" t="n">
        <v>6200</v>
      </c>
      <c r="K60" s="6" t="n">
        <v>2200</v>
      </c>
      <c r="L60" s="6" t="n">
        <v>6200</v>
      </c>
    </row>
    <row r="61" hidden="1" outlineLevel="3" collapsed="1">
      <c r="A61" s="12" t="inlineStr">
        <is>
          <t>6500 - Client dinners</t>
        </is>
      </c>
      <c r="B61" s="6" t="n">
        <v>1200</v>
      </c>
      <c r="C61" s="6" t="n">
        <v>1200</v>
      </c>
      <c r="D61" s="6" t="n">
        <v>1200</v>
      </c>
      <c r="E61" s="6" t="n">
        <v>1200</v>
      </c>
      <c r="F61" s="6" t="n">
        <v>1200</v>
      </c>
      <c r="G61" s="6" t="n">
        <v>1200</v>
      </c>
      <c r="H61" s="6" t="n">
        <v>1200</v>
      </c>
      <c r="I61" s="6" t="n">
        <v>1200</v>
      </c>
      <c r="J61" s="6" t="n">
        <v>1200</v>
      </c>
      <c r="K61" s="6" t="n">
        <v>1200</v>
      </c>
      <c r="L61" s="6" t="n">
        <v>1200</v>
      </c>
    </row>
    <row r="62" hidden="1" outlineLevel="3" collapsed="1">
      <c r="A62" s="12" t="inlineStr">
        <is>
          <t>6501 - Jays/Leafs/Raptors tickets</t>
        </is>
      </c>
      <c r="B62" s="6" t="n">
        <v>1000</v>
      </c>
      <c r="C62" s="6" t="n">
        <v>1000</v>
      </c>
      <c r="D62" s="6" t="n">
        <v>1000</v>
      </c>
      <c r="E62" s="6" t="n">
        <v>1000</v>
      </c>
      <c r="F62" s="6" t="n">
        <v>1000</v>
      </c>
      <c r="G62" s="6" t="n">
        <v>1000</v>
      </c>
      <c r="H62" s="6" t="n">
        <v>1000</v>
      </c>
      <c r="I62" s="6" t="n">
        <v>1000</v>
      </c>
      <c r="J62" s="6" t="n">
        <v>1000</v>
      </c>
      <c r="K62" s="6" t="n">
        <v>1000</v>
      </c>
      <c r="L62" s="6" t="n">
        <v>1000</v>
      </c>
    </row>
    <row r="63" hidden="1" outlineLevel="3" collapsed="1">
      <c r="A63" s="12" t="inlineStr">
        <is>
          <t>6502 - Holiday parties</t>
        </is>
      </c>
      <c r="B63" s="6" t="n">
        <v>4000</v>
      </c>
      <c r="C63" s="6" t="n">
        <v>0</v>
      </c>
      <c r="D63" s="6" t="n">
        <v>4000</v>
      </c>
      <c r="E63" s="6" t="n">
        <v>0</v>
      </c>
      <c r="F63" s="6" t="n">
        <v>4000</v>
      </c>
      <c r="G63" s="6" t="n">
        <v>0</v>
      </c>
      <c r="H63" s="6" t="n">
        <v>4000</v>
      </c>
      <c r="I63" s="6" t="n">
        <v>0</v>
      </c>
      <c r="J63" s="6" t="n">
        <v>4000</v>
      </c>
      <c r="K63" s="6" t="n">
        <v>0</v>
      </c>
      <c r="L63" s="6" t="n">
        <v>4000</v>
      </c>
    </row>
    <row r="64" hidden="1" outlineLevel="1" collapsed="1">
      <c r="A64" s="10" t="inlineStr">
        <is>
          <t>Office expenses</t>
        </is>
      </c>
      <c r="B64" s="6" t="n">
        <v>4050</v>
      </c>
      <c r="C64" s="6" t="n">
        <v>4050</v>
      </c>
      <c r="D64" s="6" t="n">
        <v>4050</v>
      </c>
      <c r="E64" s="6" t="n">
        <v>4050</v>
      </c>
      <c r="F64" s="6" t="n">
        <v>4050</v>
      </c>
      <c r="G64" s="6" t="n">
        <v>4050</v>
      </c>
      <c r="H64" s="6" t="n">
        <v>4050</v>
      </c>
      <c r="I64" s="6" t="n">
        <v>4050</v>
      </c>
      <c r="J64" s="6" t="n">
        <v>4050</v>
      </c>
      <c r="K64" s="6" t="n">
        <v>4050</v>
      </c>
      <c r="L64" s="6" t="n">
        <v>4050</v>
      </c>
    </row>
    <row r="65" hidden="1" outlineLevel="2" collapsed="1">
      <c r="A65" s="11" t="inlineStr"/>
      <c r="B65" s="6" t="n">
        <v>4050</v>
      </c>
      <c r="C65" s="6" t="n">
        <v>4050</v>
      </c>
      <c r="D65" s="6" t="n">
        <v>4050</v>
      </c>
      <c r="E65" s="6" t="n">
        <v>4050</v>
      </c>
      <c r="F65" s="6" t="n">
        <v>4050</v>
      </c>
      <c r="G65" s="6" t="n">
        <v>4050</v>
      </c>
      <c r="H65" s="6" t="n">
        <v>4050</v>
      </c>
      <c r="I65" s="6" t="n">
        <v>4050</v>
      </c>
      <c r="J65" s="6" t="n">
        <v>4050</v>
      </c>
      <c r="K65" s="6" t="n">
        <v>4050</v>
      </c>
      <c r="L65" s="6" t="n">
        <v>4050</v>
      </c>
    </row>
    <row r="66" hidden="1" outlineLevel="3" collapsed="1">
      <c r="A66" s="12" t="inlineStr">
        <is>
          <t>6300 - Office supplies</t>
        </is>
      </c>
      <c r="B66" s="6" t="n">
        <v>1800</v>
      </c>
      <c r="C66" s="6" t="n">
        <v>1800</v>
      </c>
      <c r="D66" s="6" t="n">
        <v>1800</v>
      </c>
      <c r="E66" s="6" t="n">
        <v>1800</v>
      </c>
      <c r="F66" s="6" t="n">
        <v>1800</v>
      </c>
      <c r="G66" s="6" t="n">
        <v>1800</v>
      </c>
      <c r="H66" s="6" t="n">
        <v>1800</v>
      </c>
      <c r="I66" s="6" t="n">
        <v>1800</v>
      </c>
      <c r="J66" s="6" t="n">
        <v>1800</v>
      </c>
      <c r="K66" s="6" t="n">
        <v>1800</v>
      </c>
      <c r="L66" s="6" t="n">
        <v>1800</v>
      </c>
    </row>
    <row r="67" hidden="1" outlineLevel="3" collapsed="1">
      <c r="A67" s="12" t="inlineStr">
        <is>
          <t>6301 - Mail/courier expenses</t>
        </is>
      </c>
      <c r="B67" s="6" t="n">
        <v>600</v>
      </c>
      <c r="C67" s="6" t="n">
        <v>600</v>
      </c>
      <c r="D67" s="6" t="n">
        <v>600</v>
      </c>
      <c r="E67" s="6" t="n">
        <v>600</v>
      </c>
      <c r="F67" s="6" t="n">
        <v>600</v>
      </c>
      <c r="G67" s="6" t="n">
        <v>600</v>
      </c>
      <c r="H67" s="6" t="n">
        <v>600</v>
      </c>
      <c r="I67" s="6" t="n">
        <v>600</v>
      </c>
      <c r="J67" s="6" t="n">
        <v>600</v>
      </c>
      <c r="K67" s="6" t="n">
        <v>600</v>
      </c>
      <c r="L67" s="6" t="n">
        <v>600</v>
      </c>
    </row>
    <row r="68" hidden="1" outlineLevel="3" collapsed="1">
      <c r="A68" s="12" t="inlineStr">
        <is>
          <t>6302 - General office/store maintenance</t>
        </is>
      </c>
      <c r="B68" s="6" t="n">
        <v>900</v>
      </c>
      <c r="C68" s="6" t="n">
        <v>900</v>
      </c>
      <c r="D68" s="6" t="n">
        <v>900</v>
      </c>
      <c r="E68" s="6" t="n">
        <v>900</v>
      </c>
      <c r="F68" s="6" t="n">
        <v>900</v>
      </c>
      <c r="G68" s="6" t="n">
        <v>900</v>
      </c>
      <c r="H68" s="6" t="n">
        <v>900</v>
      </c>
      <c r="I68" s="6" t="n">
        <v>900</v>
      </c>
      <c r="J68" s="6" t="n">
        <v>900</v>
      </c>
      <c r="K68" s="6" t="n">
        <v>900</v>
      </c>
      <c r="L68" s="6" t="n">
        <v>900</v>
      </c>
    </row>
    <row r="69" hidden="1" outlineLevel="3" collapsed="1">
      <c r="A69" s="12" t="inlineStr">
        <is>
          <t>6303 - Cleaning services</t>
        </is>
      </c>
      <c r="B69" s="6" t="n">
        <v>750</v>
      </c>
      <c r="C69" s="6" t="n">
        <v>750</v>
      </c>
      <c r="D69" s="6" t="n">
        <v>750</v>
      </c>
      <c r="E69" s="6" t="n">
        <v>750</v>
      </c>
      <c r="F69" s="6" t="n">
        <v>750</v>
      </c>
      <c r="G69" s="6" t="n">
        <v>750</v>
      </c>
      <c r="H69" s="6" t="n">
        <v>750</v>
      </c>
      <c r="I69" s="6" t="n">
        <v>750</v>
      </c>
      <c r="J69" s="6" t="n">
        <v>750</v>
      </c>
      <c r="K69" s="6" t="n">
        <v>750</v>
      </c>
      <c r="L69" s="6" t="n">
        <v>750</v>
      </c>
    </row>
    <row r="70" hidden="1" outlineLevel="1" collapsed="1">
      <c r="A70" s="10" t="inlineStr">
        <is>
          <t>Professional fees</t>
        </is>
      </c>
      <c r="B70" s="6" t="n">
        <v>6600</v>
      </c>
      <c r="C70" s="6" t="n">
        <v>6600</v>
      </c>
      <c r="D70" s="6" t="n">
        <v>6600</v>
      </c>
      <c r="E70" s="6" t="n">
        <v>6600</v>
      </c>
      <c r="F70" s="6" t="n">
        <v>6600</v>
      </c>
      <c r="G70" s="6" t="n">
        <v>25400</v>
      </c>
      <c r="H70" s="6" t="n">
        <v>6600</v>
      </c>
      <c r="I70" s="6" t="n">
        <v>6600</v>
      </c>
      <c r="J70" s="6" t="n">
        <v>6600</v>
      </c>
      <c r="K70" s="6" t="n">
        <v>6600</v>
      </c>
      <c r="L70" s="6" t="n">
        <v>6600</v>
      </c>
    </row>
    <row r="71" hidden="1" outlineLevel="2" collapsed="1">
      <c r="A71" s="11" t="inlineStr">
        <is>
          <t>Accounting</t>
        </is>
      </c>
      <c r="B71" s="6" t="n">
        <v>3000</v>
      </c>
      <c r="C71" s="6" t="n">
        <v>3000</v>
      </c>
      <c r="D71" s="6" t="n">
        <v>3000</v>
      </c>
      <c r="E71" s="6" t="n">
        <v>3000</v>
      </c>
      <c r="F71" s="6" t="n">
        <v>3000</v>
      </c>
      <c r="G71" s="6" t="n">
        <v>3000</v>
      </c>
      <c r="H71" s="6" t="n">
        <v>3000</v>
      </c>
      <c r="I71" s="6" t="n">
        <v>3000</v>
      </c>
      <c r="J71" s="6" t="n">
        <v>3000</v>
      </c>
      <c r="K71" s="6" t="n">
        <v>3000</v>
      </c>
      <c r="L71" s="6" t="n">
        <v>3000</v>
      </c>
    </row>
    <row r="72" hidden="1" outlineLevel="3" collapsed="1">
      <c r="A72" s="12" t="inlineStr">
        <is>
          <t>6901 - Accounting costs</t>
        </is>
      </c>
      <c r="B72" s="6" t="n">
        <v>3000</v>
      </c>
      <c r="C72" s="6" t="n">
        <v>3000</v>
      </c>
      <c r="D72" s="6" t="n">
        <v>3000</v>
      </c>
      <c r="E72" s="6" t="n">
        <v>3000</v>
      </c>
      <c r="F72" s="6" t="n">
        <v>3000</v>
      </c>
      <c r="G72" s="6" t="n">
        <v>3000</v>
      </c>
      <c r="H72" s="6" t="n">
        <v>3000</v>
      </c>
      <c r="I72" s="6" t="n">
        <v>3000</v>
      </c>
      <c r="J72" s="6" t="n">
        <v>3000</v>
      </c>
      <c r="K72" s="6" t="n">
        <v>3000</v>
      </c>
      <c r="L72" s="6" t="n">
        <v>3000</v>
      </c>
    </row>
    <row r="73" hidden="1" outlineLevel="2" collapsed="1">
      <c r="A73" s="11" t="inlineStr">
        <is>
          <t>Legal</t>
        </is>
      </c>
      <c r="B73" s="6" t="n">
        <v>3600</v>
      </c>
      <c r="C73" s="6" t="n">
        <v>3600</v>
      </c>
      <c r="D73" s="6" t="n">
        <v>3600</v>
      </c>
      <c r="E73" s="6" t="n">
        <v>3600</v>
      </c>
      <c r="F73" s="6" t="n">
        <v>3600</v>
      </c>
      <c r="G73" s="6" t="n">
        <v>22400</v>
      </c>
      <c r="H73" s="6" t="n">
        <v>3600</v>
      </c>
      <c r="I73" s="6" t="n">
        <v>3600</v>
      </c>
      <c r="J73" s="6" t="n">
        <v>3600</v>
      </c>
      <c r="K73" s="6" t="n">
        <v>3600</v>
      </c>
      <c r="L73" s="6" t="n">
        <v>3600</v>
      </c>
    </row>
    <row r="74" hidden="1" outlineLevel="3" collapsed="1">
      <c r="A74" s="12" t="inlineStr">
        <is>
          <t>6900 - Legal costs</t>
        </is>
      </c>
      <c r="B74" s="6" t="n">
        <v>3600</v>
      </c>
      <c r="C74" s="6" t="n">
        <v>3600</v>
      </c>
      <c r="D74" s="6" t="n">
        <v>3600</v>
      </c>
      <c r="E74" s="6" t="n">
        <v>3600</v>
      </c>
      <c r="F74" s="6" t="n">
        <v>3600</v>
      </c>
      <c r="G74" s="6" t="n">
        <v>22400</v>
      </c>
      <c r="H74" s="6" t="n">
        <v>3600</v>
      </c>
      <c r="I74" s="6" t="n">
        <v>3600</v>
      </c>
      <c r="J74" s="6" t="n">
        <v>3600</v>
      </c>
      <c r="K74" s="6" t="n">
        <v>3600</v>
      </c>
      <c r="L74" s="6" t="n">
        <v>3600</v>
      </c>
    </row>
    <row r="75" hidden="1" outlineLevel="1" collapsed="1">
      <c r="A75" s="10" t="inlineStr">
        <is>
          <t>Rent</t>
        </is>
      </c>
      <c r="B75" s="6" t="n">
        <v>10500</v>
      </c>
      <c r="C75" s="6" t="n">
        <v>10500</v>
      </c>
      <c r="D75" s="6" t="n">
        <v>10500</v>
      </c>
      <c r="E75" s="6" t="n">
        <v>10500</v>
      </c>
      <c r="F75" s="6" t="n">
        <v>10500</v>
      </c>
      <c r="G75" s="6" t="n">
        <v>10500</v>
      </c>
      <c r="H75" s="6" t="n">
        <v>10500</v>
      </c>
      <c r="I75" s="6" t="n">
        <v>10500</v>
      </c>
      <c r="J75" s="6" t="n">
        <v>10500</v>
      </c>
      <c r="K75" s="6" t="n">
        <v>10500</v>
      </c>
      <c r="L75" s="6" t="n">
        <v>10500</v>
      </c>
    </row>
    <row r="76" hidden="1" outlineLevel="2" collapsed="1">
      <c r="A76" s="11" t="inlineStr"/>
      <c r="B76" s="6" t="n">
        <v>10500</v>
      </c>
      <c r="C76" s="6" t="n">
        <v>10500</v>
      </c>
      <c r="D76" s="6" t="n">
        <v>10500</v>
      </c>
      <c r="E76" s="6" t="n">
        <v>10500</v>
      </c>
      <c r="F76" s="6" t="n">
        <v>10500</v>
      </c>
      <c r="G76" s="6" t="n">
        <v>10500</v>
      </c>
      <c r="H76" s="6" t="n">
        <v>10500</v>
      </c>
      <c r="I76" s="6" t="n">
        <v>10500</v>
      </c>
      <c r="J76" s="6" t="n">
        <v>10500</v>
      </c>
      <c r="K76" s="6" t="n">
        <v>10500</v>
      </c>
      <c r="L76" s="6" t="n">
        <v>10500</v>
      </c>
    </row>
    <row r="77" hidden="1" outlineLevel="3" collapsed="1">
      <c r="A77" s="12" t="inlineStr">
        <is>
          <t>6210 - Rent</t>
        </is>
      </c>
      <c r="B77" s="6" t="n">
        <v>10500</v>
      </c>
      <c r="C77" s="6" t="n">
        <v>10500</v>
      </c>
      <c r="D77" s="6" t="n">
        <v>10500</v>
      </c>
      <c r="E77" s="6" t="n">
        <v>10500</v>
      </c>
      <c r="F77" s="6" t="n">
        <v>10500</v>
      </c>
      <c r="G77" s="6" t="n">
        <v>10500</v>
      </c>
      <c r="H77" s="6" t="n">
        <v>10500</v>
      </c>
      <c r="I77" s="6" t="n">
        <v>10500</v>
      </c>
      <c r="J77" s="6" t="n">
        <v>10500</v>
      </c>
      <c r="K77" s="6" t="n">
        <v>10500</v>
      </c>
      <c r="L77" s="6" t="n">
        <v>10500</v>
      </c>
    </row>
    <row r="78" hidden="1" outlineLevel="1" collapsed="1">
      <c r="A78" s="10" t="inlineStr">
        <is>
          <t>Salaries and wages</t>
        </is>
      </c>
      <c r="B78" s="6" t="n">
        <v>75000</v>
      </c>
      <c r="C78" s="6" t="n">
        <v>75000</v>
      </c>
      <c r="D78" s="6" t="n">
        <v>75000</v>
      </c>
      <c r="E78" s="6" t="n">
        <v>75000</v>
      </c>
      <c r="F78" s="6" t="n">
        <v>75000</v>
      </c>
      <c r="G78" s="6" t="n">
        <v>75000</v>
      </c>
      <c r="H78" s="6" t="n">
        <v>75000</v>
      </c>
      <c r="I78" s="6" t="n">
        <v>75000</v>
      </c>
      <c r="J78" s="6" t="n">
        <v>75000</v>
      </c>
      <c r="K78" s="6" t="n">
        <v>75000</v>
      </c>
      <c r="L78" s="6" t="n">
        <v>75000</v>
      </c>
    </row>
    <row r="79" hidden="1" outlineLevel="2" collapsed="1">
      <c r="A79" s="11" t="inlineStr"/>
      <c r="B79" s="6" t="n">
        <v>75000</v>
      </c>
      <c r="C79" s="6" t="n">
        <v>75000</v>
      </c>
      <c r="D79" s="6" t="n">
        <v>75000</v>
      </c>
      <c r="E79" s="6" t="n">
        <v>75000</v>
      </c>
      <c r="F79" s="6" t="n">
        <v>75000</v>
      </c>
      <c r="G79" s="6" t="n">
        <v>75000</v>
      </c>
      <c r="H79" s="6" t="n">
        <v>75000</v>
      </c>
      <c r="I79" s="6" t="n">
        <v>75000</v>
      </c>
      <c r="J79" s="6" t="n">
        <v>75000</v>
      </c>
      <c r="K79" s="6" t="n">
        <v>75000</v>
      </c>
      <c r="L79" s="6" t="n">
        <v>75000</v>
      </c>
    </row>
    <row r="80" hidden="1" outlineLevel="3" collapsed="1">
      <c r="A80" s="12" t="inlineStr">
        <is>
          <t>6411 - Admin salaries</t>
        </is>
      </c>
      <c r="B80" s="6" t="n">
        <v>30000</v>
      </c>
      <c r="C80" s="6" t="n">
        <v>30000</v>
      </c>
      <c r="D80" s="6" t="n">
        <v>30000</v>
      </c>
      <c r="E80" s="6" t="n">
        <v>30000</v>
      </c>
      <c r="F80" s="6" t="n">
        <v>30000</v>
      </c>
      <c r="G80" s="6" t="n">
        <v>30000</v>
      </c>
      <c r="H80" s="6" t="n">
        <v>30000</v>
      </c>
      <c r="I80" s="6" t="n">
        <v>30000</v>
      </c>
      <c r="J80" s="6" t="n">
        <v>30000</v>
      </c>
      <c r="K80" s="6" t="n">
        <v>30000</v>
      </c>
      <c r="L80" s="6" t="n">
        <v>30000</v>
      </c>
    </row>
    <row r="81" hidden="1" outlineLevel="3" collapsed="1">
      <c r="A81" s="12" t="inlineStr">
        <is>
          <t>6412 - Sales salaries</t>
        </is>
      </c>
      <c r="B81" s="6" t="n">
        <v>45000</v>
      </c>
      <c r="C81" s="6" t="n">
        <v>45000</v>
      </c>
      <c r="D81" s="6" t="n">
        <v>45000</v>
      </c>
      <c r="E81" s="6" t="n">
        <v>45000</v>
      </c>
      <c r="F81" s="6" t="n">
        <v>45000</v>
      </c>
      <c r="G81" s="6" t="n">
        <v>45000</v>
      </c>
      <c r="H81" s="6" t="n">
        <v>45000</v>
      </c>
      <c r="I81" s="6" t="n">
        <v>45000</v>
      </c>
      <c r="J81" s="6" t="n">
        <v>45000</v>
      </c>
      <c r="K81" s="6" t="n">
        <v>45000</v>
      </c>
      <c r="L81" s="6" t="n">
        <v>45000</v>
      </c>
    </row>
    <row r="82" hidden="1" outlineLevel="1" collapsed="1">
      <c r="A82" s="10" t="inlineStr">
        <is>
          <t>Telephone and internet</t>
        </is>
      </c>
      <c r="B82" s="6" t="n">
        <v>900</v>
      </c>
      <c r="C82" s="6" t="n">
        <v>900</v>
      </c>
      <c r="D82" s="6" t="n">
        <v>900</v>
      </c>
      <c r="E82" s="6" t="n">
        <v>900</v>
      </c>
      <c r="F82" s="6" t="n">
        <v>900</v>
      </c>
      <c r="G82" s="6" t="n">
        <v>900</v>
      </c>
      <c r="H82" s="6" t="n">
        <v>900</v>
      </c>
      <c r="I82" s="6" t="n">
        <v>900</v>
      </c>
      <c r="J82" s="6" t="n">
        <v>900</v>
      </c>
      <c r="K82" s="6" t="n">
        <v>900</v>
      </c>
      <c r="L82" s="6" t="n">
        <v>900</v>
      </c>
    </row>
    <row r="83" hidden="1" outlineLevel="2" collapsed="1">
      <c r="A83" s="11" t="inlineStr"/>
      <c r="B83" s="6" t="n">
        <v>900</v>
      </c>
      <c r="C83" s="6" t="n">
        <v>900</v>
      </c>
      <c r="D83" s="6" t="n">
        <v>900</v>
      </c>
      <c r="E83" s="6" t="n">
        <v>900</v>
      </c>
      <c r="F83" s="6" t="n">
        <v>900</v>
      </c>
      <c r="G83" s="6" t="n">
        <v>900</v>
      </c>
      <c r="H83" s="6" t="n">
        <v>900</v>
      </c>
      <c r="I83" s="6" t="n">
        <v>900</v>
      </c>
      <c r="J83" s="6" t="n">
        <v>900</v>
      </c>
      <c r="K83" s="6" t="n">
        <v>900</v>
      </c>
      <c r="L83" s="6" t="n">
        <v>900</v>
      </c>
    </row>
    <row r="84" hidden="1" outlineLevel="3" collapsed="1">
      <c r="A84" s="12" t="inlineStr">
        <is>
          <t>6600 - Telephone expenses</t>
        </is>
      </c>
      <c r="B84" s="6" t="n">
        <v>300</v>
      </c>
      <c r="C84" s="6" t="n">
        <v>300</v>
      </c>
      <c r="D84" s="6" t="n">
        <v>300</v>
      </c>
      <c r="E84" s="6" t="n">
        <v>300</v>
      </c>
      <c r="F84" s="6" t="n">
        <v>300</v>
      </c>
      <c r="G84" s="6" t="n">
        <v>300</v>
      </c>
      <c r="H84" s="6" t="n">
        <v>300</v>
      </c>
      <c r="I84" s="6" t="n">
        <v>300</v>
      </c>
      <c r="J84" s="6" t="n">
        <v>300</v>
      </c>
      <c r="K84" s="6" t="n">
        <v>300</v>
      </c>
      <c r="L84" s="6" t="n">
        <v>300</v>
      </c>
    </row>
    <row r="85" hidden="1" outlineLevel="3" collapsed="1">
      <c r="A85" s="12" t="inlineStr">
        <is>
          <t>6601 - Internet expenses</t>
        </is>
      </c>
      <c r="B85" s="6" t="n">
        <v>600</v>
      </c>
      <c r="C85" s="6" t="n">
        <v>600</v>
      </c>
      <c r="D85" s="6" t="n">
        <v>600</v>
      </c>
      <c r="E85" s="6" t="n">
        <v>600</v>
      </c>
      <c r="F85" s="6" t="n">
        <v>600</v>
      </c>
      <c r="G85" s="6" t="n">
        <v>600</v>
      </c>
      <c r="H85" s="6" t="n">
        <v>600</v>
      </c>
      <c r="I85" s="6" t="n">
        <v>600</v>
      </c>
      <c r="J85" s="6" t="n">
        <v>600</v>
      </c>
      <c r="K85" s="6" t="n">
        <v>600</v>
      </c>
      <c r="L85" s="6" t="n">
        <v>600</v>
      </c>
    </row>
    <row r="86" hidden="1" outlineLevel="1" collapsed="1">
      <c r="A86" s="10" t="inlineStr">
        <is>
          <t>Travel expenses</t>
        </is>
      </c>
      <c r="B86" s="6" t="n">
        <v>900</v>
      </c>
      <c r="C86" s="6" t="n">
        <v>900</v>
      </c>
      <c r="D86" s="6" t="n">
        <v>900</v>
      </c>
      <c r="E86" s="6" t="n">
        <v>900</v>
      </c>
      <c r="F86" s="6" t="n">
        <v>900</v>
      </c>
      <c r="G86" s="6" t="n">
        <v>900</v>
      </c>
      <c r="H86" s="6" t="n">
        <v>900</v>
      </c>
      <c r="I86" s="6" t="n">
        <v>900</v>
      </c>
      <c r="J86" s="6" t="n">
        <v>900</v>
      </c>
      <c r="K86" s="6" t="n">
        <v>900</v>
      </c>
      <c r="L86" s="6" t="n">
        <v>900</v>
      </c>
    </row>
    <row r="87" hidden="1" outlineLevel="2" collapsed="1">
      <c r="A87" s="11" t="inlineStr"/>
      <c r="B87" s="6" t="n">
        <v>900</v>
      </c>
      <c r="C87" s="6" t="n">
        <v>900</v>
      </c>
      <c r="D87" s="6" t="n">
        <v>900</v>
      </c>
      <c r="E87" s="6" t="n">
        <v>900</v>
      </c>
      <c r="F87" s="6" t="n">
        <v>900</v>
      </c>
      <c r="G87" s="6" t="n">
        <v>900</v>
      </c>
      <c r="H87" s="6" t="n">
        <v>900</v>
      </c>
      <c r="I87" s="6" t="n">
        <v>900</v>
      </c>
      <c r="J87" s="6" t="n">
        <v>900</v>
      </c>
      <c r="K87" s="6" t="n">
        <v>900</v>
      </c>
      <c r="L87" s="6" t="n">
        <v>900</v>
      </c>
    </row>
    <row r="88" hidden="1" outlineLevel="3" collapsed="1">
      <c r="A88" s="12" t="inlineStr">
        <is>
          <t>6503 - Travel expenses</t>
        </is>
      </c>
      <c r="B88" s="6" t="n">
        <v>900</v>
      </c>
      <c r="C88" s="6" t="n">
        <v>900</v>
      </c>
      <c r="D88" s="6" t="n">
        <v>900</v>
      </c>
      <c r="E88" s="6" t="n">
        <v>900</v>
      </c>
      <c r="F88" s="6" t="n">
        <v>900</v>
      </c>
      <c r="G88" s="6" t="n">
        <v>900</v>
      </c>
      <c r="H88" s="6" t="n">
        <v>900</v>
      </c>
      <c r="I88" s="6" t="n">
        <v>900</v>
      </c>
      <c r="J88" s="6" t="n">
        <v>900</v>
      </c>
      <c r="K88" s="6" t="n">
        <v>900</v>
      </c>
      <c r="L88" s="6" t="n">
        <v>900</v>
      </c>
    </row>
    <row r="89" hidden="1" outlineLevel="1" collapsed="1">
      <c r="A89" s="10" t="inlineStr">
        <is>
          <t>Utilities</t>
        </is>
      </c>
      <c r="B89" s="6" t="n">
        <v>1350</v>
      </c>
      <c r="C89" s="6" t="n">
        <v>1350</v>
      </c>
      <c r="D89" s="6" t="n">
        <v>1350</v>
      </c>
      <c r="E89" s="6" t="n">
        <v>1350</v>
      </c>
      <c r="F89" s="6" t="n">
        <v>1350</v>
      </c>
      <c r="G89" s="6" t="n">
        <v>1350</v>
      </c>
      <c r="H89" s="6" t="n">
        <v>1350</v>
      </c>
      <c r="I89" s="6" t="n">
        <v>1350</v>
      </c>
      <c r="J89" s="6" t="n">
        <v>1350</v>
      </c>
      <c r="K89" s="6" t="n">
        <v>1350</v>
      </c>
      <c r="L89" s="6" t="n">
        <v>1350</v>
      </c>
    </row>
    <row r="90" hidden="1" outlineLevel="2" collapsed="1">
      <c r="A90" s="11" t="inlineStr"/>
      <c r="B90" s="6" t="n">
        <v>1350</v>
      </c>
      <c r="C90" s="6" t="n">
        <v>1350</v>
      </c>
      <c r="D90" s="6" t="n">
        <v>1350</v>
      </c>
      <c r="E90" s="6" t="n">
        <v>1350</v>
      </c>
      <c r="F90" s="6" t="n">
        <v>1350</v>
      </c>
      <c r="G90" s="6" t="n">
        <v>1350</v>
      </c>
      <c r="H90" s="6" t="n">
        <v>1350</v>
      </c>
      <c r="I90" s="6" t="n">
        <v>1350</v>
      </c>
      <c r="J90" s="6" t="n">
        <v>1350</v>
      </c>
      <c r="K90" s="6" t="n">
        <v>1350</v>
      </c>
      <c r="L90" s="6" t="n">
        <v>1350</v>
      </c>
    </row>
    <row r="91" hidden="1" outlineLevel="3" collapsed="1">
      <c r="A91" s="12" t="inlineStr">
        <is>
          <t>6400 - Gas</t>
        </is>
      </c>
      <c r="B91" s="6" t="n">
        <v>450</v>
      </c>
      <c r="C91" s="6" t="n">
        <v>450</v>
      </c>
      <c r="D91" s="6" t="n">
        <v>450</v>
      </c>
      <c r="E91" s="6" t="n">
        <v>450</v>
      </c>
      <c r="F91" s="6" t="n">
        <v>450</v>
      </c>
      <c r="G91" s="6" t="n">
        <v>450</v>
      </c>
      <c r="H91" s="6" t="n">
        <v>450</v>
      </c>
      <c r="I91" s="6" t="n">
        <v>450</v>
      </c>
      <c r="J91" s="6" t="n">
        <v>450</v>
      </c>
      <c r="K91" s="6" t="n">
        <v>450</v>
      </c>
      <c r="L91" s="6" t="n">
        <v>450</v>
      </c>
    </row>
    <row r="92" hidden="1" outlineLevel="3" collapsed="1">
      <c r="A92" s="12" t="inlineStr">
        <is>
          <t>6401 - Electricity</t>
        </is>
      </c>
      <c r="B92" s="6" t="n">
        <v>600</v>
      </c>
      <c r="C92" s="6" t="n">
        <v>600</v>
      </c>
      <c r="D92" s="6" t="n">
        <v>600</v>
      </c>
      <c r="E92" s="6" t="n">
        <v>600</v>
      </c>
      <c r="F92" s="6" t="n">
        <v>600</v>
      </c>
      <c r="G92" s="6" t="n">
        <v>600</v>
      </c>
      <c r="H92" s="6" t="n">
        <v>600</v>
      </c>
      <c r="I92" s="6" t="n">
        <v>600</v>
      </c>
      <c r="J92" s="6" t="n">
        <v>600</v>
      </c>
      <c r="K92" s="6" t="n">
        <v>600</v>
      </c>
      <c r="L92" s="6" t="n">
        <v>600</v>
      </c>
    </row>
    <row r="93" hidden="1" outlineLevel="3" collapsed="1">
      <c r="A93" s="12" t="inlineStr">
        <is>
          <t>6402 - Water</t>
        </is>
      </c>
      <c r="B93" s="6" t="n">
        <v>300</v>
      </c>
      <c r="C93" s="6" t="n">
        <v>300</v>
      </c>
      <c r="D93" s="6" t="n">
        <v>300</v>
      </c>
      <c r="E93" s="6" t="n">
        <v>300</v>
      </c>
      <c r="F93" s="6" t="n">
        <v>300</v>
      </c>
      <c r="G93" s="6" t="n">
        <v>300</v>
      </c>
      <c r="H93" s="6" t="n">
        <v>300</v>
      </c>
      <c r="I93" s="6" t="n">
        <v>300</v>
      </c>
      <c r="J93" s="6" t="n">
        <v>300</v>
      </c>
      <c r="K93" s="6" t="n">
        <v>300</v>
      </c>
      <c r="L93" s="6" t="n">
        <v>300</v>
      </c>
    </row>
    <row r="94" hidden="1" outlineLevel="1" collapsed="1">
      <c r="A94" s="10" t="inlineStr">
        <is>
          <t>Vehicle expenses</t>
        </is>
      </c>
      <c r="B94" s="6" t="n">
        <v>1725</v>
      </c>
      <c r="C94" s="6" t="n">
        <v>1725</v>
      </c>
      <c r="D94" s="6" t="n">
        <v>1725</v>
      </c>
      <c r="E94" s="6" t="n">
        <v>1725</v>
      </c>
      <c r="F94" s="6" t="n">
        <v>1725</v>
      </c>
      <c r="G94" s="6" t="n">
        <v>1725</v>
      </c>
      <c r="H94" s="6" t="n">
        <v>1725</v>
      </c>
      <c r="I94" s="6" t="n">
        <v>1725</v>
      </c>
      <c r="J94" s="6" t="n">
        <v>1725</v>
      </c>
      <c r="K94" s="6" t="n">
        <v>1725</v>
      </c>
      <c r="L94" s="6" t="n">
        <v>1725</v>
      </c>
    </row>
    <row r="95" hidden="1" outlineLevel="2" collapsed="1">
      <c r="A95" s="11" t="inlineStr"/>
      <c r="B95" s="6" t="n">
        <v>1725</v>
      </c>
      <c r="C95" s="6" t="n">
        <v>1725</v>
      </c>
      <c r="D95" s="6" t="n">
        <v>1725</v>
      </c>
      <c r="E95" s="6" t="n">
        <v>1725</v>
      </c>
      <c r="F95" s="6" t="n">
        <v>1725</v>
      </c>
      <c r="G95" s="6" t="n">
        <v>1725</v>
      </c>
      <c r="H95" s="6" t="n">
        <v>1725</v>
      </c>
      <c r="I95" s="6" t="n">
        <v>1725</v>
      </c>
      <c r="J95" s="6" t="n">
        <v>1725</v>
      </c>
      <c r="K95" s="6" t="n">
        <v>1725</v>
      </c>
      <c r="L95" s="6" t="n">
        <v>1725</v>
      </c>
    </row>
    <row r="96" hidden="1" outlineLevel="3" collapsed="1">
      <c r="A96" s="12" t="inlineStr">
        <is>
          <t>6110 - Vehicle maintenance</t>
        </is>
      </c>
      <c r="B96" s="6" t="n">
        <v>300</v>
      </c>
      <c r="C96" s="6" t="n">
        <v>300</v>
      </c>
      <c r="D96" s="6" t="n">
        <v>300</v>
      </c>
      <c r="E96" s="6" t="n">
        <v>300</v>
      </c>
      <c r="F96" s="6" t="n">
        <v>300</v>
      </c>
      <c r="G96" s="6" t="n">
        <v>300</v>
      </c>
      <c r="H96" s="6" t="n">
        <v>300</v>
      </c>
      <c r="I96" s="6" t="n">
        <v>300</v>
      </c>
      <c r="J96" s="6" t="n">
        <v>300</v>
      </c>
      <c r="K96" s="6" t="n">
        <v>300</v>
      </c>
      <c r="L96" s="6" t="n">
        <v>300</v>
      </c>
    </row>
    <row r="97" hidden="1" outlineLevel="3" collapsed="1">
      <c r="A97" s="12" t="inlineStr">
        <is>
          <t>6111 - Other vehicle expenses</t>
        </is>
      </c>
      <c r="B97" s="6" t="n">
        <v>375</v>
      </c>
      <c r="C97" s="6" t="n">
        <v>375</v>
      </c>
      <c r="D97" s="6" t="n">
        <v>375</v>
      </c>
      <c r="E97" s="6" t="n">
        <v>375</v>
      </c>
      <c r="F97" s="6" t="n">
        <v>375</v>
      </c>
      <c r="G97" s="6" t="n">
        <v>375</v>
      </c>
      <c r="H97" s="6" t="n">
        <v>375</v>
      </c>
      <c r="I97" s="6" t="n">
        <v>375</v>
      </c>
      <c r="J97" s="6" t="n">
        <v>375</v>
      </c>
      <c r="K97" s="6" t="n">
        <v>375</v>
      </c>
      <c r="L97" s="6" t="n">
        <v>375</v>
      </c>
    </row>
    <row r="98" hidden="1" outlineLevel="3" collapsed="1">
      <c r="A98" s="12" t="inlineStr">
        <is>
          <t>6112 - Vehicle fuel</t>
        </is>
      </c>
      <c r="B98" s="6" t="n">
        <v>900</v>
      </c>
      <c r="C98" s="6" t="n">
        <v>900</v>
      </c>
      <c r="D98" s="6" t="n">
        <v>900</v>
      </c>
      <c r="E98" s="6" t="n">
        <v>900</v>
      </c>
      <c r="F98" s="6" t="n">
        <v>900</v>
      </c>
      <c r="G98" s="6" t="n">
        <v>900</v>
      </c>
      <c r="H98" s="6" t="n">
        <v>900</v>
      </c>
      <c r="I98" s="6" t="n">
        <v>900</v>
      </c>
      <c r="J98" s="6" t="n">
        <v>900</v>
      </c>
      <c r="K98" s="6" t="n">
        <v>900</v>
      </c>
      <c r="L98" s="6" t="n">
        <v>900</v>
      </c>
    </row>
    <row r="99" hidden="1" outlineLevel="3" collapsed="1">
      <c r="A99" s="12" t="inlineStr">
        <is>
          <t>6304 - Parking</t>
        </is>
      </c>
      <c r="B99" s="6" t="n">
        <v>150</v>
      </c>
      <c r="C99" s="6" t="n">
        <v>150</v>
      </c>
      <c r="D99" s="6" t="n">
        <v>150</v>
      </c>
      <c r="E99" s="6" t="n">
        <v>150</v>
      </c>
      <c r="F99" s="6" t="n">
        <v>150</v>
      </c>
      <c r="G99" s="6" t="n">
        <v>150</v>
      </c>
      <c r="H99" s="6" t="n">
        <v>150</v>
      </c>
      <c r="I99" s="6" t="n">
        <v>150</v>
      </c>
      <c r="J99" s="6" t="n">
        <v>150</v>
      </c>
      <c r="K99" s="6" t="n">
        <v>150</v>
      </c>
      <c r="L99" s="6" t="n">
        <v>150</v>
      </c>
    </row>
    <row r="100"/>
    <row r="101">
      <c r="A101" s="13" t="inlineStr">
        <is>
          <t>Operating Margin</t>
        </is>
      </c>
      <c r="B101" s="14">
        <f>B21-B24</f>
        <v/>
      </c>
      <c r="C101" s="14">
        <f>C21-C24</f>
        <v/>
      </c>
      <c r="D101" s="14">
        <f>D21-D24</f>
        <v/>
      </c>
      <c r="E101" s="14">
        <f>E21-E24</f>
        <v/>
      </c>
      <c r="F101" s="14">
        <f>F21-F24</f>
        <v/>
      </c>
      <c r="G101" s="14">
        <f>G21-G24</f>
        <v/>
      </c>
      <c r="H101" s="14">
        <f>H21-H24</f>
        <v/>
      </c>
      <c r="I101" s="14">
        <f>I21-I24</f>
        <v/>
      </c>
      <c r="J101" s="14">
        <f>J21-J24</f>
        <v/>
      </c>
      <c r="K101" s="14">
        <f>K21-K24</f>
        <v/>
      </c>
      <c r="L101" s="14">
        <f>L21-L24</f>
        <v/>
      </c>
      <c r="M101" s="13" t="n"/>
      <c r="N101" s="13" t="n"/>
      <c r="O101" s="13" t="n"/>
      <c r="P101" s="13" t="n"/>
      <c r="Q101" s="13" t="n"/>
      <c r="R101" s="13" t="n"/>
      <c r="S101" s="13" t="n"/>
      <c r="T101" s="13" t="n"/>
      <c r="U101" s="13" t="n"/>
      <c r="V101" s="13" t="n"/>
      <c r="W101" s="13" t="n"/>
    </row>
    <row r="102">
      <c r="A102" s="21" t="inlineStr">
        <is>
          <t>Operating Margin (%)</t>
        </is>
      </c>
      <c r="B102" s="19">
        <f>IF($B$7=0, 0, B101/$B$7)</f>
        <v/>
      </c>
      <c r="C102" s="19">
        <f>IF($C$7=0, 0, C101/$C$7)</f>
        <v/>
      </c>
      <c r="D102" s="19">
        <f>IF($D$7=0, 0, D101/$D$7)</f>
        <v/>
      </c>
      <c r="E102" s="19">
        <f>IF($E$7=0, 0, E101/$E$7)</f>
        <v/>
      </c>
      <c r="F102" s="19">
        <f>IF($F$7=0, 0, F101/$F$7)</f>
        <v/>
      </c>
      <c r="G102" s="19">
        <f>IF($G$7=0, 0, G101/$G$7)</f>
        <v/>
      </c>
      <c r="H102" s="19">
        <f>IF($H$7=0, 0, H101/$H$7)</f>
        <v/>
      </c>
      <c r="I102" s="19">
        <f>IF($I$7=0, 0, I101/$I$7)</f>
        <v/>
      </c>
      <c r="J102" s="19">
        <f>IF($J$7=0, 0, J101/$J$7)</f>
        <v/>
      </c>
      <c r="K102" s="19">
        <f>IF($K$7=0, 0, K101/$K$7)</f>
        <v/>
      </c>
      <c r="L102" s="19">
        <f>IF($L$7=0, 0, L101/$L$7)</f>
        <v/>
      </c>
    </row>
    <row r="103"/>
    <row r="104">
      <c r="A104" s="5" t="inlineStr">
        <is>
          <t>Other income/expenses</t>
        </is>
      </c>
      <c r="B104" s="6" t="n">
        <v>-6673.055891239666</v>
      </c>
      <c r="C104" s="6" t="n">
        <v>-2880.055891239666</v>
      </c>
      <c r="D104" s="6" t="n">
        <v>-2880.055891239666</v>
      </c>
      <c r="E104" s="6" t="n">
        <v>-2880.055891239666</v>
      </c>
      <c r="F104" s="6" t="n">
        <v>635.9441087603337</v>
      </c>
      <c r="G104" s="6" t="n">
        <v>-2880.055891239666</v>
      </c>
      <c r="H104" s="6" t="n">
        <v>-2880.055891239666</v>
      </c>
      <c r="I104" s="6" t="n">
        <v>-2880.055891239666</v>
      </c>
      <c r="J104" s="6" t="n">
        <v>158.9441087603337</v>
      </c>
      <c r="K104" s="6" t="n">
        <v>-2880.055891239666</v>
      </c>
      <c r="L104" s="6" t="n">
        <v>-2880.055891239666</v>
      </c>
    </row>
    <row r="105" hidden="1" outlineLevel="1" collapsed="1">
      <c r="A105" s="10" t="inlineStr">
        <is>
          <t>Foreign currency gains/losses</t>
        </is>
      </c>
      <c r="B105" s="6" t="n">
        <v>119.9441087603337</v>
      </c>
      <c r="C105" s="6" t="n">
        <v>119.9441087603337</v>
      </c>
      <c r="D105" s="6" t="n">
        <v>119.9441087603337</v>
      </c>
      <c r="E105" s="6" t="n">
        <v>119.9441087603337</v>
      </c>
      <c r="F105" s="6" t="n">
        <v>119.9441087603337</v>
      </c>
      <c r="G105" s="6" t="n">
        <v>119.9441087603337</v>
      </c>
      <c r="H105" s="6" t="n">
        <v>119.9441087603337</v>
      </c>
      <c r="I105" s="6" t="n">
        <v>119.9441087603337</v>
      </c>
      <c r="J105" s="6" t="n">
        <v>119.9441087603337</v>
      </c>
      <c r="K105" s="6" t="n">
        <v>119.9441087603337</v>
      </c>
      <c r="L105" s="6" t="n">
        <v>119.9441087603337</v>
      </c>
    </row>
    <row r="106" hidden="1" outlineLevel="2" collapsed="1">
      <c r="A106" s="11" t="inlineStr"/>
      <c r="B106" s="6" t="n">
        <v>119.9441087603337</v>
      </c>
      <c r="C106" s="6" t="n">
        <v>119.9441087603337</v>
      </c>
      <c r="D106" s="6" t="n">
        <v>119.9441087603337</v>
      </c>
      <c r="E106" s="6" t="n">
        <v>119.9441087603337</v>
      </c>
      <c r="F106" s="6" t="n">
        <v>119.9441087603337</v>
      </c>
      <c r="G106" s="6" t="n">
        <v>119.9441087603337</v>
      </c>
      <c r="H106" s="6" t="n">
        <v>119.9441087603337</v>
      </c>
      <c r="I106" s="6" t="n">
        <v>119.9441087603337</v>
      </c>
      <c r="J106" s="6" t="n">
        <v>119.9441087603337</v>
      </c>
      <c r="K106" s="6" t="n">
        <v>119.9441087603337</v>
      </c>
      <c r="L106" s="6" t="n">
        <v>119.9441087603337</v>
      </c>
    </row>
    <row r="107" hidden="1" outlineLevel="3" collapsed="1">
      <c r="A107" s="12" t="inlineStr">
        <is>
          <t>7002 - Foreign currency gains/losses</t>
        </is>
      </c>
      <c r="B107" s="6" t="n">
        <v>119.9441087603337</v>
      </c>
      <c r="C107" s="6" t="n">
        <v>119.9441087603337</v>
      </c>
      <c r="D107" s="6" t="n">
        <v>119.9441087603337</v>
      </c>
      <c r="E107" s="6" t="n">
        <v>119.9441087603337</v>
      </c>
      <c r="F107" s="6" t="n">
        <v>119.9441087603337</v>
      </c>
      <c r="G107" s="6" t="n">
        <v>119.9441087603337</v>
      </c>
      <c r="H107" s="6" t="n">
        <v>119.9441087603337</v>
      </c>
      <c r="I107" s="6" t="n">
        <v>119.9441087603337</v>
      </c>
      <c r="J107" s="6" t="n">
        <v>119.9441087603337</v>
      </c>
      <c r="K107" s="6" t="n">
        <v>119.9441087603337</v>
      </c>
      <c r="L107" s="6" t="n">
        <v>119.9441087603337</v>
      </c>
    </row>
    <row r="108" hidden="1" outlineLevel="1" collapsed="1">
      <c r="A108" s="10" t="inlineStr">
        <is>
          <t>Gains/losses on sale of equipment</t>
        </is>
      </c>
      <c r="B108" s="6" t="n">
        <v>-3793</v>
      </c>
      <c r="C108" s="6" t="n">
        <v>0</v>
      </c>
      <c r="D108" s="6" t="n">
        <v>0</v>
      </c>
      <c r="E108" s="6" t="n">
        <v>0</v>
      </c>
      <c r="F108" s="6" t="n">
        <v>3516</v>
      </c>
      <c r="G108" s="6" t="n">
        <v>0</v>
      </c>
      <c r="H108" s="6" t="n">
        <v>0</v>
      </c>
      <c r="I108" s="6" t="n">
        <v>0</v>
      </c>
      <c r="J108" s="6" t="n">
        <v>3039</v>
      </c>
      <c r="K108" s="6" t="n">
        <v>0</v>
      </c>
      <c r="L108" s="6" t="n">
        <v>0</v>
      </c>
    </row>
    <row r="109" hidden="1" outlineLevel="2" collapsed="1">
      <c r="A109" s="11" t="inlineStr"/>
      <c r="B109" s="6" t="n">
        <v>-3793</v>
      </c>
      <c r="C109" s="6" t="n">
        <v>0</v>
      </c>
      <c r="D109" s="6" t="n">
        <v>0</v>
      </c>
      <c r="E109" s="6" t="n">
        <v>0</v>
      </c>
      <c r="F109" s="6" t="n">
        <v>3516</v>
      </c>
      <c r="G109" s="6" t="n">
        <v>0</v>
      </c>
      <c r="H109" s="6" t="n">
        <v>0</v>
      </c>
      <c r="I109" s="6" t="n">
        <v>0</v>
      </c>
      <c r="J109" s="6" t="n">
        <v>3039</v>
      </c>
      <c r="K109" s="6" t="n">
        <v>0</v>
      </c>
      <c r="L109" s="6" t="n">
        <v>0</v>
      </c>
    </row>
    <row r="110" hidden="1" outlineLevel="3" collapsed="1">
      <c r="A110" s="12" t="inlineStr">
        <is>
          <t>7001 - Gains/losses on sale of equipment</t>
        </is>
      </c>
      <c r="B110" s="6" t="n">
        <v>-3793</v>
      </c>
      <c r="C110" s="6" t="n">
        <v>0</v>
      </c>
      <c r="D110" s="6" t="n">
        <v>0</v>
      </c>
      <c r="E110" s="6" t="n">
        <v>0</v>
      </c>
      <c r="F110" s="6" t="n">
        <v>3516</v>
      </c>
      <c r="G110" s="6" t="n">
        <v>0</v>
      </c>
      <c r="H110" s="6" t="n">
        <v>0</v>
      </c>
      <c r="I110" s="6" t="n">
        <v>0</v>
      </c>
      <c r="J110" s="6" t="n">
        <v>3039</v>
      </c>
      <c r="K110" s="6" t="n">
        <v>0</v>
      </c>
      <c r="L110" s="6" t="n">
        <v>0</v>
      </c>
    </row>
    <row r="111" hidden="1" outlineLevel="1" collapsed="1">
      <c r="A111" s="10" t="inlineStr">
        <is>
          <t>Investment income</t>
        </is>
      </c>
      <c r="B111" s="6" t="n">
        <v>-3000</v>
      </c>
      <c r="C111" s="6" t="n">
        <v>-3000</v>
      </c>
      <c r="D111" s="6" t="n">
        <v>-3000</v>
      </c>
      <c r="E111" s="6" t="n">
        <v>-3000</v>
      </c>
      <c r="F111" s="6" t="n">
        <v>-3000</v>
      </c>
      <c r="G111" s="6" t="n">
        <v>-3000</v>
      </c>
      <c r="H111" s="6" t="n">
        <v>-3000</v>
      </c>
      <c r="I111" s="6" t="n">
        <v>-3000</v>
      </c>
      <c r="J111" s="6" t="n">
        <v>-3000</v>
      </c>
      <c r="K111" s="6" t="n">
        <v>-3000</v>
      </c>
      <c r="L111" s="6" t="n">
        <v>-3000</v>
      </c>
    </row>
    <row r="112" hidden="1" outlineLevel="2" collapsed="1">
      <c r="A112" s="11" t="inlineStr"/>
      <c r="B112" s="6" t="n">
        <v>-3000</v>
      </c>
      <c r="C112" s="6" t="n">
        <v>-3000</v>
      </c>
      <c r="D112" s="6" t="n">
        <v>-3000</v>
      </c>
      <c r="E112" s="6" t="n">
        <v>-3000</v>
      </c>
      <c r="F112" s="6" t="n">
        <v>-3000</v>
      </c>
      <c r="G112" s="6" t="n">
        <v>-3000</v>
      </c>
      <c r="H112" s="6" t="n">
        <v>-3000</v>
      </c>
      <c r="I112" s="6" t="n">
        <v>-3000</v>
      </c>
      <c r="J112" s="6" t="n">
        <v>-3000</v>
      </c>
      <c r="K112" s="6" t="n">
        <v>-3000</v>
      </c>
      <c r="L112" s="6" t="n">
        <v>-3000</v>
      </c>
    </row>
    <row r="113" hidden="1" outlineLevel="3" collapsed="1">
      <c r="A113" s="12" t="inlineStr">
        <is>
          <t>7000 - Investment income</t>
        </is>
      </c>
      <c r="B113" s="6" t="n">
        <v>-3000</v>
      </c>
      <c r="C113" s="6" t="n">
        <v>-3000</v>
      </c>
      <c r="D113" s="6" t="n">
        <v>-3000</v>
      </c>
      <c r="E113" s="6" t="n">
        <v>-3000</v>
      </c>
      <c r="F113" s="6" t="n">
        <v>-3000</v>
      </c>
      <c r="G113" s="6" t="n">
        <v>-3000</v>
      </c>
      <c r="H113" s="6" t="n">
        <v>-3000</v>
      </c>
      <c r="I113" s="6" t="n">
        <v>-3000</v>
      </c>
      <c r="J113" s="6" t="n">
        <v>-3000</v>
      </c>
      <c r="K113" s="6" t="n">
        <v>-3000</v>
      </c>
      <c r="L113" s="6" t="n">
        <v>-3000</v>
      </c>
    </row>
    <row r="114"/>
    <row r="115">
      <c r="A115" s="13" t="inlineStr">
        <is>
          <t>Net Income Before Taxes</t>
        </is>
      </c>
      <c r="B115" s="14">
        <f>B101-B104</f>
        <v/>
      </c>
      <c r="C115" s="14">
        <f>C101-C104</f>
        <v/>
      </c>
      <c r="D115" s="14">
        <f>D101-D104</f>
        <v/>
      </c>
      <c r="E115" s="14">
        <f>E101-E104</f>
        <v/>
      </c>
      <c r="F115" s="14">
        <f>F101-F104</f>
        <v/>
      </c>
      <c r="G115" s="14">
        <f>G101-G104</f>
        <v/>
      </c>
      <c r="H115" s="14">
        <f>H101-H104</f>
        <v/>
      </c>
      <c r="I115" s="14">
        <f>I101-I104</f>
        <v/>
      </c>
      <c r="J115" s="14">
        <f>J101-J104</f>
        <v/>
      </c>
      <c r="K115" s="14">
        <f>K101-K104</f>
        <v/>
      </c>
      <c r="L115" s="14">
        <f>L101-L104</f>
        <v/>
      </c>
      <c r="M115" s="13" t="n"/>
      <c r="N115" s="13" t="n"/>
      <c r="O115" s="13" t="n"/>
      <c r="P115" s="13" t="n"/>
      <c r="Q115" s="13" t="n"/>
      <c r="R115" s="13" t="n"/>
      <c r="S115" s="13" t="n"/>
      <c r="T115" s="13" t="n"/>
      <c r="U115" s="13" t="n"/>
      <c r="V115" s="13" t="n"/>
      <c r="W115" s="13" t="n"/>
    </row>
    <row r="116">
      <c r="A116" s="21" t="inlineStr">
        <is>
          <t>Net Income Before Taxes (%)</t>
        </is>
      </c>
      <c r="B116" s="19">
        <f>IF($B$7=0, 0, B115/$B$7)</f>
        <v/>
      </c>
      <c r="C116" s="19">
        <f>IF($C$7=0, 0, C115/$C$7)</f>
        <v/>
      </c>
      <c r="D116" s="19">
        <f>IF($D$7=0, 0, D115/$D$7)</f>
        <v/>
      </c>
      <c r="E116" s="19">
        <f>IF($E$7=0, 0, E115/$E$7)</f>
        <v/>
      </c>
      <c r="F116" s="19">
        <f>IF($F$7=0, 0, F115/$F$7)</f>
        <v/>
      </c>
      <c r="G116" s="19">
        <f>IF($G$7=0, 0, G115/$G$7)</f>
        <v/>
      </c>
      <c r="H116" s="19">
        <f>IF($H$7=0, 0, H115/$H$7)</f>
        <v/>
      </c>
      <c r="I116" s="19">
        <f>IF($I$7=0, 0, I115/$I$7)</f>
        <v/>
      </c>
      <c r="J116" s="19">
        <f>IF($J$7=0, 0, J115/$J$7)</f>
        <v/>
      </c>
      <c r="K116" s="19">
        <f>IF($K$7=0, 0, K115/$K$7)</f>
        <v/>
      </c>
      <c r="L116" s="19">
        <f>IF($L$7=0, 0, L115/$L$7)</f>
        <v/>
      </c>
    </row>
    <row r="117"/>
    <row r="118">
      <c r="A118" s="5" t="inlineStr">
        <is>
          <t>Income taxes</t>
        </is>
      </c>
      <c r="B118" s="6" t="n">
        <v>12000</v>
      </c>
      <c r="C118" s="6" t="n">
        <v>12000</v>
      </c>
      <c r="D118" s="6" t="n">
        <v>12000</v>
      </c>
      <c r="E118" s="6" t="n">
        <v>12000</v>
      </c>
      <c r="F118" s="6" t="n">
        <v>12000</v>
      </c>
      <c r="G118" s="6" t="n">
        <v>12000</v>
      </c>
      <c r="H118" s="6" t="n">
        <v>12000</v>
      </c>
      <c r="I118" s="6" t="n">
        <v>12000</v>
      </c>
      <c r="J118" s="6" t="n">
        <v>12000</v>
      </c>
      <c r="K118" s="6" t="n">
        <v>12000</v>
      </c>
      <c r="L118" s="6" t="n">
        <v>12000</v>
      </c>
    </row>
    <row r="119" hidden="1" outlineLevel="1" collapsed="1">
      <c r="A119" s="10" t="inlineStr">
        <is>
          <t>Income taxes</t>
        </is>
      </c>
      <c r="B119" s="6" t="n">
        <v>12000</v>
      </c>
      <c r="C119" s="6" t="n">
        <v>12000</v>
      </c>
      <c r="D119" s="6" t="n">
        <v>12000</v>
      </c>
      <c r="E119" s="6" t="n">
        <v>12000</v>
      </c>
      <c r="F119" s="6" t="n">
        <v>12000</v>
      </c>
      <c r="G119" s="6" t="n">
        <v>12000</v>
      </c>
      <c r="H119" s="6" t="n">
        <v>12000</v>
      </c>
      <c r="I119" s="6" t="n">
        <v>12000</v>
      </c>
      <c r="J119" s="6" t="n">
        <v>12000</v>
      </c>
      <c r="K119" s="6" t="n">
        <v>12000</v>
      </c>
      <c r="L119" s="6" t="n">
        <v>12000</v>
      </c>
    </row>
    <row r="120" hidden="1" outlineLevel="2" collapsed="1">
      <c r="A120" s="11" t="inlineStr"/>
      <c r="B120" s="6" t="n">
        <v>12000</v>
      </c>
      <c r="C120" s="6" t="n">
        <v>12000</v>
      </c>
      <c r="D120" s="6" t="n">
        <v>12000</v>
      </c>
      <c r="E120" s="6" t="n">
        <v>12000</v>
      </c>
      <c r="F120" s="6" t="n">
        <v>12000</v>
      </c>
      <c r="G120" s="6" t="n">
        <v>12000</v>
      </c>
      <c r="H120" s="6" t="n">
        <v>12000</v>
      </c>
      <c r="I120" s="6" t="n">
        <v>12000</v>
      </c>
      <c r="J120" s="6" t="n">
        <v>12000</v>
      </c>
      <c r="K120" s="6" t="n">
        <v>12000</v>
      </c>
      <c r="L120" s="6" t="n">
        <v>12000</v>
      </c>
    </row>
    <row r="121" hidden="1" outlineLevel="3" collapsed="1">
      <c r="A121" s="12" t="inlineStr">
        <is>
          <t>8000 - Income taxes</t>
        </is>
      </c>
      <c r="B121" s="6" t="n">
        <v>12000</v>
      </c>
      <c r="C121" s="6" t="n">
        <v>12000</v>
      </c>
      <c r="D121" s="6" t="n">
        <v>12000</v>
      </c>
      <c r="E121" s="6" t="n">
        <v>12000</v>
      </c>
      <c r="F121" s="6" t="n">
        <v>12000</v>
      </c>
      <c r="G121" s="6" t="n">
        <v>12000</v>
      </c>
      <c r="H121" s="6" t="n">
        <v>12000</v>
      </c>
      <c r="I121" s="6" t="n">
        <v>12000</v>
      </c>
      <c r="J121" s="6" t="n">
        <v>12000</v>
      </c>
      <c r="K121" s="6" t="n">
        <v>12000</v>
      </c>
      <c r="L121" s="6" t="n">
        <v>12000</v>
      </c>
    </row>
    <row r="122"/>
    <row r="123">
      <c r="A123" s="13" t="inlineStr">
        <is>
          <t>Net Income</t>
        </is>
      </c>
      <c r="B123" s="14">
        <f>B115-B118</f>
        <v/>
      </c>
      <c r="C123" s="14">
        <f>C115-C118</f>
        <v/>
      </c>
      <c r="D123" s="14">
        <f>D115-D118</f>
        <v/>
      </c>
      <c r="E123" s="14">
        <f>E115-E118</f>
        <v/>
      </c>
      <c r="F123" s="14">
        <f>F115-F118</f>
        <v/>
      </c>
      <c r="G123" s="14">
        <f>G115-G118</f>
        <v/>
      </c>
      <c r="H123" s="14">
        <f>H115-H118</f>
        <v/>
      </c>
      <c r="I123" s="14">
        <f>I115-I118</f>
        <v/>
      </c>
      <c r="J123" s="14">
        <f>J115-J118</f>
        <v/>
      </c>
      <c r="K123" s="14">
        <f>K115-K118</f>
        <v/>
      </c>
      <c r="L123" s="14">
        <f>L115-L118</f>
        <v/>
      </c>
      <c r="M123" s="13" t="n"/>
      <c r="N123" s="13" t="n"/>
      <c r="O123" s="13" t="n"/>
      <c r="P123" s="13" t="n"/>
      <c r="Q123" s="13" t="n"/>
      <c r="R123" s="13" t="n"/>
      <c r="S123" s="13" t="n"/>
      <c r="T123" s="13" t="n"/>
      <c r="U123" s="13" t="n"/>
      <c r="V123" s="13" t="n"/>
      <c r="W123" s="13" t="n"/>
    </row>
    <row r="124">
      <c r="A124" s="21" t="inlineStr">
        <is>
          <t>Net Income (%)</t>
        </is>
      </c>
      <c r="B124" s="19">
        <f>IF($B$7=0, 0, B123/$B$7)</f>
        <v/>
      </c>
      <c r="C124" s="19">
        <f>IF($C$7=0, 0, C123/$C$7)</f>
        <v/>
      </c>
      <c r="D124" s="19">
        <f>IF($D$7=0, 0, D123/$D$7)</f>
        <v/>
      </c>
      <c r="E124" s="19">
        <f>IF($E$7=0, 0, E123/$E$7)</f>
        <v/>
      </c>
      <c r="F124" s="19">
        <f>IF($F$7=0, 0, F123/$F$7)</f>
        <v/>
      </c>
      <c r="G124" s="19">
        <f>IF($G$7=0, 0, G123/$G$7)</f>
        <v/>
      </c>
      <c r="H124" s="19">
        <f>IF($H$7=0, 0, H123/$H$7)</f>
        <v/>
      </c>
      <c r="I124" s="19">
        <f>IF($I$7=0, 0, I123/$I$7)</f>
        <v/>
      </c>
      <c r="J124" s="19">
        <f>IF($J$7=0, 0, J123/$J$7)</f>
        <v/>
      </c>
      <c r="K124" s="19">
        <f>IF($K$7=0, 0, K123/$K$7)</f>
        <v/>
      </c>
      <c r="L124" s="19">
        <f>IF($L$7=0, 0, L123/$L$7)</f>
        <v/>
      </c>
    </row>
    <row r="125"/>
    <row r="126" hidden="1" outlineLevel="2" collapsed="1">
      <c r="A126" s="10" t="inlineStr">
        <is>
          <t>Amortization</t>
        </is>
      </c>
      <c r="B126" s="18">
        <f>B33</f>
        <v/>
      </c>
      <c r="C126" s="18">
        <f>C33</f>
        <v/>
      </c>
      <c r="D126" s="18">
        <f>D33</f>
        <v/>
      </c>
      <c r="E126" s="18">
        <f>E33</f>
        <v/>
      </c>
      <c r="F126" s="18">
        <f>F33</f>
        <v/>
      </c>
      <c r="G126" s="18">
        <f>G33</f>
        <v/>
      </c>
      <c r="H126" s="18">
        <f>H33</f>
        <v/>
      </c>
      <c r="I126" s="18">
        <f>I33</f>
        <v/>
      </c>
      <c r="J126" s="18">
        <f>J33</f>
        <v/>
      </c>
      <c r="K126" s="18">
        <f>K33</f>
        <v/>
      </c>
      <c r="L126" s="18">
        <f>L33</f>
        <v/>
      </c>
      <c r="M126" s="19">
        <f>L126/$L$7</f>
        <v/>
      </c>
    </row>
    <row r="127" hidden="1" outlineLevel="2" collapsed="1">
      <c r="A127" s="10" t="inlineStr">
        <is>
          <t>Interest expense</t>
        </is>
      </c>
      <c r="B127" s="18">
        <f>B52</f>
        <v/>
      </c>
      <c r="C127" s="18">
        <f>C52</f>
        <v/>
      </c>
      <c r="D127" s="18">
        <f>D52</f>
        <v/>
      </c>
      <c r="E127" s="18">
        <f>E52</f>
        <v/>
      </c>
      <c r="F127" s="18">
        <f>F52</f>
        <v/>
      </c>
      <c r="G127" s="18">
        <f>G52</f>
        <v/>
      </c>
      <c r="H127" s="18">
        <f>H52</f>
        <v/>
      </c>
      <c r="I127" s="18">
        <f>I52</f>
        <v/>
      </c>
      <c r="J127" s="18">
        <f>J52</f>
        <v/>
      </c>
      <c r="K127" s="18">
        <f>K52</f>
        <v/>
      </c>
      <c r="L127" s="18">
        <f>L52</f>
        <v/>
      </c>
      <c r="M127" s="19">
        <f>L127/$L$7</f>
        <v/>
      </c>
    </row>
    <row r="128" hidden="1" outlineLevel="2" collapsed="1">
      <c r="A128" s="10" t="inlineStr">
        <is>
          <t>Income taxes</t>
        </is>
      </c>
      <c r="B128" s="18">
        <f>B118</f>
        <v/>
      </c>
      <c r="C128" s="18">
        <f>C118</f>
        <v/>
      </c>
      <c r="D128" s="18">
        <f>D118</f>
        <v/>
      </c>
      <c r="E128" s="18">
        <f>E118</f>
        <v/>
      </c>
      <c r="F128" s="18">
        <f>F118</f>
        <v/>
      </c>
      <c r="G128" s="18">
        <f>G118</f>
        <v/>
      </c>
      <c r="H128" s="18">
        <f>H118</f>
        <v/>
      </c>
      <c r="I128" s="18">
        <f>I118</f>
        <v/>
      </c>
      <c r="J128" s="18">
        <f>J118</f>
        <v/>
      </c>
      <c r="K128" s="18">
        <f>K118</f>
        <v/>
      </c>
      <c r="L128" s="18">
        <f>L118</f>
        <v/>
      </c>
      <c r="M128" s="19">
        <f>L128/$L$7</f>
        <v/>
      </c>
    </row>
    <row r="129" hidden="1" outlineLevel="2" collapsed="1">
      <c r="A129" s="20" t="inlineStr">
        <is>
          <t>total</t>
        </is>
      </c>
      <c r="B129" s="14">
        <f>B126+B127+B128</f>
        <v/>
      </c>
      <c r="C129" s="15">
        <f>B129/$B$7</f>
        <v/>
      </c>
      <c r="D129" s="14">
        <f>D126+D127+D128</f>
        <v/>
      </c>
      <c r="E129" s="15">
        <f>D129/$D$7</f>
        <v/>
      </c>
      <c r="F129" s="14">
        <f>F126+F127+F128</f>
        <v/>
      </c>
      <c r="G129" s="15">
        <f>F129/$F$7</f>
        <v/>
      </c>
      <c r="H129" s="14">
        <f>H126+H127+H128</f>
        <v/>
      </c>
      <c r="I129" s="15">
        <f>H129/$H$7</f>
        <v/>
      </c>
      <c r="J129" s="14">
        <f>J126+J127+J128</f>
        <v/>
      </c>
      <c r="K129" s="15">
        <f>J129/$J$7</f>
        <v/>
      </c>
      <c r="L129" s="14">
        <f>L126+L127+L128</f>
        <v/>
      </c>
      <c r="M129" s="15">
        <f>L129/$L$7</f>
        <v/>
      </c>
      <c r="N129" s="14">
        <f>0</f>
        <v/>
      </c>
      <c r="O129" s="15">
        <f>N129/$N$7</f>
        <v/>
      </c>
      <c r="P129" s="14">
        <f>0</f>
        <v/>
      </c>
      <c r="Q129" s="15">
        <f>P129/$P$7</f>
        <v/>
      </c>
      <c r="R129" s="14">
        <f>0</f>
        <v/>
      </c>
      <c r="S129" s="15">
        <f>R129/$R$7</f>
        <v/>
      </c>
      <c r="T129" s="14">
        <f>0</f>
        <v/>
      </c>
      <c r="U129" s="15">
        <f>T129/$T$7</f>
        <v/>
      </c>
      <c r="V129" s="14">
        <f>0</f>
        <v/>
      </c>
      <c r="W129" s="15">
        <f>V129/$V$7</f>
        <v/>
      </c>
    </row>
    <row r="130">
      <c r="A130" s="13" t="inlineStr">
        <is>
          <t>EBITDA</t>
        </is>
      </c>
      <c r="B130" s="14">
        <f>B123+B129</f>
        <v/>
      </c>
      <c r="C130" s="14">
        <f>C123+C129</f>
        <v/>
      </c>
      <c r="D130" s="14">
        <f>D123+D129</f>
        <v/>
      </c>
      <c r="E130" s="14">
        <f>E123+E129</f>
        <v/>
      </c>
      <c r="F130" s="14">
        <f>F123+F129</f>
        <v/>
      </c>
      <c r="G130" s="14">
        <f>G123+G129</f>
        <v/>
      </c>
      <c r="H130" s="14">
        <f>H123+H129</f>
        <v/>
      </c>
      <c r="I130" s="14">
        <f>I123+I129</f>
        <v/>
      </c>
      <c r="J130" s="14">
        <f>J123+J129</f>
        <v/>
      </c>
      <c r="K130" s="14">
        <f>K123+K129</f>
        <v/>
      </c>
      <c r="L130" s="14">
        <f>L123+L129</f>
        <v/>
      </c>
      <c r="M130" s="13" t="n"/>
      <c r="N130" s="13" t="n"/>
      <c r="O130" s="13" t="n"/>
      <c r="P130" s="13" t="n"/>
      <c r="Q130" s="13" t="n"/>
      <c r="R130" s="13" t="n"/>
      <c r="S130" s="13" t="n"/>
      <c r="T130" s="13" t="n"/>
      <c r="U130" s="13" t="n"/>
      <c r="V130" s="13" t="n"/>
      <c r="W130" s="13" t="n"/>
    </row>
    <row r="131">
      <c r="A131" s="21" t="inlineStr">
        <is>
          <t>EBITDA (%)</t>
        </is>
      </c>
      <c r="B131" s="19">
        <f>IF($B$7=0, 0, B130/$B$7)</f>
        <v/>
      </c>
      <c r="C131" s="19">
        <f>IF($C$7=0, 0, C130/$C$7)</f>
        <v/>
      </c>
      <c r="D131" s="19">
        <f>IF($D$7=0, 0, D130/$D$7)</f>
        <v/>
      </c>
      <c r="E131" s="19">
        <f>IF($E$7=0, 0, E130/$E$7)</f>
        <v/>
      </c>
      <c r="F131" s="19">
        <f>IF($F$7=0, 0, F130/$F$7)</f>
        <v/>
      </c>
      <c r="G131" s="19">
        <f>IF($G$7=0, 0, G130/$G$7)</f>
        <v/>
      </c>
      <c r="H131" s="19">
        <f>IF($H$7=0, 0, H130/$H$7)</f>
        <v/>
      </c>
      <c r="I131" s="19">
        <f>IF($I$7=0, 0, I130/$I$7)</f>
        <v/>
      </c>
      <c r="J131" s="19">
        <f>IF($J$7=0, 0, J130/$J$7)</f>
        <v/>
      </c>
      <c r="K131" s="19">
        <f>IF($K$7=0, 0, K130/$K$7)</f>
        <v/>
      </c>
      <c r="L131" s="19">
        <f>IF($L$7=0, 0, L130/$L$7)</f>
        <v/>
      </c>
    </row>
  </sheetData>
  <mergeCells count="12">
    <mergeCell ref="A1:L1"/>
    <mergeCell ref="H6"/>
    <mergeCell ref="D6"/>
    <mergeCell ref="B6"/>
    <mergeCell ref="I6"/>
    <mergeCell ref="E6"/>
    <mergeCell ref="C6"/>
    <mergeCell ref="J6"/>
    <mergeCell ref="L6"/>
    <mergeCell ref="F6"/>
    <mergeCell ref="G6"/>
    <mergeCell ref="K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applyStyles="1" summaryBelow="0" summaryRight="1" showOutlineSymbols="1"/>
    <pageSetUpPr/>
  </sheetPr>
  <dimension ref="A1:BO131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Annual Income Statements</t>
        </is>
      </c>
    </row>
    <row r="2">
      <c r="A2" s="2" t="inlineStr">
        <is>
          <t>Your Company Name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</row>
    <row r="3">
      <c r="A3" s="2" t="inlineStr">
        <is>
          <t>(CAD)$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</row>
    <row r="4">
      <c r="A4" s="2" t="inlineStr">
        <is>
          <t>Year End: March 31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</row>
    <row r="5"/>
    <row r="6">
      <c r="B6" s="4" t="inlineStr">
        <is>
          <t>30-Apr-21</t>
        </is>
      </c>
      <c r="C6" s="4" t="inlineStr">
        <is>
          <t>31-May-21</t>
        </is>
      </c>
      <c r="D6" s="4" t="inlineStr">
        <is>
          <t>30-Jun-21</t>
        </is>
      </c>
      <c r="E6" s="4" t="inlineStr">
        <is>
          <t>31-Jul-21</t>
        </is>
      </c>
      <c r="F6" s="4" t="inlineStr">
        <is>
          <t>31-Aug-21</t>
        </is>
      </c>
      <c r="G6" s="4" t="inlineStr">
        <is>
          <t>30-Sep-21</t>
        </is>
      </c>
      <c r="H6" s="4" t="inlineStr">
        <is>
          <t>31-Oct-21</t>
        </is>
      </c>
      <c r="I6" s="4" t="inlineStr">
        <is>
          <t>30-Nov-21</t>
        </is>
      </c>
      <c r="J6" s="4" t="inlineStr">
        <is>
          <t>31-Dec-21</t>
        </is>
      </c>
      <c r="K6" s="4" t="inlineStr">
        <is>
          <t>31-Jan-22</t>
        </is>
      </c>
      <c r="L6" s="4" t="inlineStr">
        <is>
          <t>28-Feb-22</t>
        </is>
      </c>
      <c r="M6" s="4" t="inlineStr">
        <is>
          <t>31-Mar-22</t>
        </is>
      </c>
      <c r="N6" s="4" t="inlineStr">
        <is>
          <t>30-Apr-22</t>
        </is>
      </c>
      <c r="O6" s="4" t="inlineStr">
        <is>
          <t>31-May-22</t>
        </is>
      </c>
      <c r="P6" s="4" t="inlineStr">
        <is>
          <t>30-Jun-22</t>
        </is>
      </c>
      <c r="Q6" s="4" t="inlineStr">
        <is>
          <t>31-Jul-22</t>
        </is>
      </c>
      <c r="R6" s="4" t="inlineStr">
        <is>
          <t>31-Aug-22</t>
        </is>
      </c>
      <c r="S6" s="4" t="inlineStr">
        <is>
          <t>30-Sep-22</t>
        </is>
      </c>
      <c r="T6" s="4" t="inlineStr">
        <is>
          <t>31-Oct-22</t>
        </is>
      </c>
      <c r="U6" s="4" t="inlineStr">
        <is>
          <t>30-Nov-22</t>
        </is>
      </c>
      <c r="V6" s="4" t="inlineStr">
        <is>
          <t>31-Dec-22</t>
        </is>
      </c>
      <c r="W6" s="4" t="inlineStr">
        <is>
          <t>31-Jan-23</t>
        </is>
      </c>
      <c r="X6" s="4" t="inlineStr">
        <is>
          <t>28-Feb-23</t>
        </is>
      </c>
      <c r="Y6" s="4" t="inlineStr">
        <is>
          <t>31-Mar-23</t>
        </is>
      </c>
      <c r="Z6" s="4" t="inlineStr">
        <is>
          <t>30-Apr-23</t>
        </is>
      </c>
      <c r="AA6" s="4" t="inlineStr">
        <is>
          <t>31-May-23</t>
        </is>
      </c>
      <c r="AB6" s="4" t="inlineStr">
        <is>
          <t>30-Jun-23</t>
        </is>
      </c>
      <c r="AC6" s="4" t="inlineStr">
        <is>
          <t>31-Jul-23</t>
        </is>
      </c>
      <c r="AD6" s="4" t="inlineStr">
        <is>
          <t>31-Aug-23</t>
        </is>
      </c>
      <c r="AE6" s="4" t="inlineStr">
        <is>
          <t>30-Sep-23</t>
        </is>
      </c>
      <c r="AF6" s="4" t="inlineStr">
        <is>
          <t>31-Oct-23</t>
        </is>
      </c>
      <c r="AG6" s="4" t="inlineStr">
        <is>
          <t>30-Nov-23</t>
        </is>
      </c>
      <c r="AH6" s="4" t="inlineStr">
        <is>
          <t>31-Dec-23</t>
        </is>
      </c>
    </row>
    <row r="7">
      <c r="A7" s="5" t="inlineStr">
        <is>
          <t>Sales</t>
        </is>
      </c>
      <c r="B7" s="6" t="n">
        <v>115249.88</v>
      </c>
      <c r="C7" s="6" t="n">
        <v>96659.92000000001</v>
      </c>
      <c r="D7" s="6" t="n">
        <v>98680.92000000001</v>
      </c>
      <c r="E7" s="6" t="n">
        <v>186275</v>
      </c>
      <c r="F7" s="6" t="n">
        <v>260183.0400000001</v>
      </c>
      <c r="G7" s="6" t="n">
        <v>327665.8399999999</v>
      </c>
      <c r="H7" s="6" t="n">
        <v>109663.88</v>
      </c>
      <c r="I7" s="6" t="n">
        <v>319031.84</v>
      </c>
      <c r="J7" s="6" t="n">
        <v>451865.52</v>
      </c>
      <c r="K7" s="6" t="n">
        <v>98914.28</v>
      </c>
      <c r="L7" s="6" t="n">
        <v>82984.39999999999</v>
      </c>
      <c r="M7" s="6" t="n">
        <v>123910.08</v>
      </c>
      <c r="N7" s="6" t="n">
        <v>164881.12</v>
      </c>
      <c r="O7" s="6" t="n">
        <v>130566.04</v>
      </c>
      <c r="P7" s="6" t="n">
        <v>109965.96</v>
      </c>
      <c r="Q7" s="6" t="n">
        <v>278849.6</v>
      </c>
      <c r="R7" s="6" t="n">
        <v>305643.28</v>
      </c>
      <c r="S7" s="6" t="n">
        <v>468644.5600000001</v>
      </c>
      <c r="T7" s="6" t="n">
        <v>151668.52</v>
      </c>
      <c r="U7" s="6" t="n">
        <v>409374.3599999999</v>
      </c>
      <c r="V7" s="6" t="n">
        <v>659038.1599999999</v>
      </c>
      <c r="W7" s="6" t="n">
        <v>121105.68</v>
      </c>
      <c r="X7" s="6" t="n">
        <v>113987.8</v>
      </c>
      <c r="Y7" s="6" t="n">
        <v>178039.92</v>
      </c>
      <c r="Z7" s="6" t="n">
        <v>172159.56</v>
      </c>
      <c r="AA7" s="6" t="n">
        <v>154060.4</v>
      </c>
      <c r="AB7" s="6" t="n">
        <v>191702.36</v>
      </c>
      <c r="AC7" s="6" t="n">
        <v>287514.84</v>
      </c>
      <c r="AD7" s="6" t="n">
        <v>334679.24</v>
      </c>
      <c r="AE7" s="6" t="n">
        <v>502706.2799999999</v>
      </c>
      <c r="AF7" s="6" t="n">
        <v>151881.5600000001</v>
      </c>
      <c r="AG7" s="6" t="n">
        <v>544079</v>
      </c>
      <c r="AH7" s="6" t="n">
        <v>693324.2000000001</v>
      </c>
    </row>
    <row r="8" hidden="1" outlineLevel="1" collapsed="1">
      <c r="A8" s="10" t="inlineStr">
        <is>
          <t>Sales</t>
        </is>
      </c>
      <c r="B8" s="6" t="n">
        <v>115249.88</v>
      </c>
      <c r="C8" s="6" t="n">
        <v>96659.92000000001</v>
      </c>
      <c r="D8" s="6" t="n">
        <v>98680.92000000001</v>
      </c>
      <c r="E8" s="6" t="n">
        <v>186275</v>
      </c>
      <c r="F8" s="6" t="n">
        <v>260183.0400000001</v>
      </c>
      <c r="G8" s="6" t="n">
        <v>327665.8399999999</v>
      </c>
      <c r="H8" s="6" t="n">
        <v>109663.88</v>
      </c>
      <c r="I8" s="6" t="n">
        <v>319031.84</v>
      </c>
      <c r="J8" s="6" t="n">
        <v>451865.52</v>
      </c>
      <c r="K8" s="6" t="n">
        <v>98914.28</v>
      </c>
      <c r="L8" s="6" t="n">
        <v>82984.39999999999</v>
      </c>
      <c r="M8" s="6" t="n">
        <v>123910.08</v>
      </c>
      <c r="N8" s="6" t="n">
        <v>164881.12</v>
      </c>
      <c r="O8" s="6" t="n">
        <v>130566.04</v>
      </c>
      <c r="P8" s="6" t="n">
        <v>109965.96</v>
      </c>
      <c r="Q8" s="6" t="n">
        <v>278849.6</v>
      </c>
      <c r="R8" s="6" t="n">
        <v>305643.28</v>
      </c>
      <c r="S8" s="6" t="n">
        <v>468644.5600000001</v>
      </c>
      <c r="T8" s="6" t="n">
        <v>151668.52</v>
      </c>
      <c r="U8" s="6" t="n">
        <v>409374.3599999999</v>
      </c>
      <c r="V8" s="6" t="n">
        <v>659038.1599999999</v>
      </c>
      <c r="W8" s="6" t="n">
        <v>121105.68</v>
      </c>
      <c r="X8" s="6" t="n">
        <v>113987.8</v>
      </c>
      <c r="Y8" s="6" t="n">
        <v>178039.92</v>
      </c>
      <c r="Z8" s="6" t="n">
        <v>172159.56</v>
      </c>
      <c r="AA8" s="6" t="n">
        <v>154060.4</v>
      </c>
      <c r="AB8" s="6" t="n">
        <v>191702.36</v>
      </c>
      <c r="AC8" s="6" t="n">
        <v>287514.84</v>
      </c>
      <c r="AD8" s="6" t="n">
        <v>334679.24</v>
      </c>
      <c r="AE8" s="6" t="n">
        <v>502706.2799999999</v>
      </c>
      <c r="AF8" s="6" t="n">
        <v>151881.5600000001</v>
      </c>
      <c r="AG8" s="6" t="n">
        <v>544079</v>
      </c>
      <c r="AH8" s="6" t="n">
        <v>693324.2000000001</v>
      </c>
    </row>
    <row r="9" hidden="1" outlineLevel="2" collapsed="1">
      <c r="A9" s="11" t="inlineStr">
        <is>
          <t>Hat sales</t>
        </is>
      </c>
      <c r="B9" s="6" t="n">
        <v>58184.28</v>
      </c>
      <c r="C9" s="6" t="n">
        <v>54657.96</v>
      </c>
      <c r="D9" s="6" t="n">
        <v>69183.04000000001</v>
      </c>
      <c r="E9" s="6" t="n">
        <v>118635.48</v>
      </c>
      <c r="F9" s="6" t="n">
        <v>153227</v>
      </c>
      <c r="G9" s="6" t="n">
        <v>176567.8799999999</v>
      </c>
      <c r="H9" s="6" t="n">
        <v>47017.59999999999</v>
      </c>
      <c r="I9" s="6" t="n">
        <v>197054.12</v>
      </c>
      <c r="J9" s="6" t="n">
        <v>260611.84</v>
      </c>
      <c r="K9" s="6" t="n">
        <v>76306.64</v>
      </c>
      <c r="L9" s="6" t="n">
        <v>47613.68</v>
      </c>
      <c r="M9" s="6" t="n">
        <v>79217.51999999999</v>
      </c>
      <c r="N9" s="6" t="n">
        <v>108950.08</v>
      </c>
      <c r="O9" s="6" t="n">
        <v>60608.67999999999</v>
      </c>
      <c r="P9" s="6" t="n">
        <v>69237.35999999997</v>
      </c>
      <c r="Q9" s="6" t="n">
        <v>208543.76</v>
      </c>
      <c r="R9" s="6" t="n">
        <v>201578.44</v>
      </c>
      <c r="S9" s="6" t="n">
        <v>322587.8800000001</v>
      </c>
      <c r="T9" s="6" t="n">
        <v>108326.32</v>
      </c>
      <c r="U9" s="6" t="n">
        <v>251687.1599999999</v>
      </c>
      <c r="V9" s="6" t="n">
        <v>423117.1999999999</v>
      </c>
      <c r="W9" s="6" t="n">
        <v>83530.67999999999</v>
      </c>
      <c r="X9" s="6" t="n">
        <v>89732.8</v>
      </c>
      <c r="Y9" s="6" t="n">
        <v>112429.92</v>
      </c>
      <c r="Z9" s="6" t="n">
        <v>123514.56</v>
      </c>
      <c r="AA9" s="6" t="n">
        <v>114145.4</v>
      </c>
      <c r="AB9" s="6" t="n">
        <v>130772.36</v>
      </c>
      <c r="AC9" s="6" t="n">
        <v>175374.84</v>
      </c>
      <c r="AD9" s="6" t="n">
        <v>210344.24</v>
      </c>
      <c r="AE9" s="6" t="n">
        <v>378461.2799999999</v>
      </c>
      <c r="AF9" s="6" t="n">
        <v>116916.56</v>
      </c>
      <c r="AG9" s="6" t="n">
        <v>399179</v>
      </c>
      <c r="AH9" s="6" t="n">
        <v>464499.2000000001</v>
      </c>
    </row>
    <row r="10" hidden="1" outlineLevel="3" collapsed="1">
      <c r="A10" s="12" t="inlineStr">
        <is>
          <t>4001 - Hat sales</t>
        </is>
      </c>
      <c r="B10" s="6" t="n">
        <v>58184.28</v>
      </c>
      <c r="C10" s="6" t="n">
        <v>54657.96</v>
      </c>
      <c r="D10" s="6" t="n">
        <v>69183.04000000001</v>
      </c>
      <c r="E10" s="6" t="n">
        <v>118635.48</v>
      </c>
      <c r="F10" s="6" t="n">
        <v>153227</v>
      </c>
      <c r="G10" s="6" t="n">
        <v>176567.8799999999</v>
      </c>
      <c r="H10" s="6" t="n">
        <v>47017.59999999999</v>
      </c>
      <c r="I10" s="6" t="n">
        <v>197054.12</v>
      </c>
      <c r="J10" s="6" t="n">
        <v>260611.84</v>
      </c>
      <c r="K10" s="6" t="n">
        <v>76306.64</v>
      </c>
      <c r="L10" s="6" t="n">
        <v>47613.68</v>
      </c>
      <c r="M10" s="6" t="n">
        <v>79217.51999999999</v>
      </c>
      <c r="N10" s="6" t="n">
        <v>108950.08</v>
      </c>
      <c r="O10" s="6" t="n">
        <v>60608.67999999999</v>
      </c>
      <c r="P10" s="6" t="n">
        <v>69237.35999999997</v>
      </c>
      <c r="Q10" s="6" t="n">
        <v>208543.76</v>
      </c>
      <c r="R10" s="6" t="n">
        <v>201578.44</v>
      </c>
      <c r="S10" s="6" t="n">
        <v>322587.8800000001</v>
      </c>
      <c r="T10" s="6" t="n">
        <v>108326.32</v>
      </c>
      <c r="U10" s="6" t="n">
        <v>251687.1599999999</v>
      </c>
      <c r="V10" s="6" t="n">
        <v>423117.1999999999</v>
      </c>
      <c r="W10" s="6" t="n">
        <v>83530.67999999999</v>
      </c>
      <c r="X10" s="6" t="n">
        <v>89732.8</v>
      </c>
      <c r="Y10" s="6" t="n">
        <v>112429.92</v>
      </c>
      <c r="Z10" s="6" t="n">
        <v>123514.56</v>
      </c>
      <c r="AA10" s="6" t="n">
        <v>114145.4</v>
      </c>
      <c r="AB10" s="6" t="n">
        <v>130772.36</v>
      </c>
      <c r="AC10" s="6" t="n">
        <v>175374.84</v>
      </c>
      <c r="AD10" s="6" t="n">
        <v>210344.24</v>
      </c>
      <c r="AE10" s="6" t="n">
        <v>378461.2799999999</v>
      </c>
      <c r="AF10" s="6" t="n">
        <v>116916.56</v>
      </c>
      <c r="AG10" s="6" t="n">
        <v>399179</v>
      </c>
      <c r="AH10" s="6" t="n">
        <v>464499.2000000001</v>
      </c>
    </row>
    <row r="11" hidden="1" outlineLevel="2" collapsed="1">
      <c r="A11" s="11" t="inlineStr">
        <is>
          <t>T-shirt sales</t>
        </is>
      </c>
      <c r="B11" s="6" t="n">
        <v>57065.60000000001</v>
      </c>
      <c r="C11" s="6" t="n">
        <v>42001.96000000001</v>
      </c>
      <c r="D11" s="6" t="n">
        <v>29497.88</v>
      </c>
      <c r="E11" s="6" t="n">
        <v>67639.51999999999</v>
      </c>
      <c r="F11" s="6" t="n">
        <v>106956.04</v>
      </c>
      <c r="G11" s="6" t="n">
        <v>151097.96</v>
      </c>
      <c r="H11" s="6" t="n">
        <v>62646.27999999999</v>
      </c>
      <c r="I11" s="6" t="n">
        <v>121977.72</v>
      </c>
      <c r="J11" s="6" t="n">
        <v>191253.68</v>
      </c>
      <c r="K11" s="6" t="n">
        <v>22607.64</v>
      </c>
      <c r="L11" s="6" t="n">
        <v>35370.72</v>
      </c>
      <c r="M11" s="6" t="n">
        <v>44692.56</v>
      </c>
      <c r="N11" s="6" t="n">
        <v>55931.04000000001</v>
      </c>
      <c r="O11" s="6" t="n">
        <v>69957.36</v>
      </c>
      <c r="P11" s="6" t="n">
        <v>40728.60000000001</v>
      </c>
      <c r="Q11" s="6" t="n">
        <v>70305.84</v>
      </c>
      <c r="R11" s="6" t="n">
        <v>104064.84</v>
      </c>
      <c r="S11" s="6" t="n">
        <v>146056.68</v>
      </c>
      <c r="T11" s="6" t="n">
        <v>43342.2</v>
      </c>
      <c r="U11" s="6" t="n">
        <v>157687.2</v>
      </c>
      <c r="V11" s="6" t="n">
        <v>235920.9600000001</v>
      </c>
      <c r="W11" s="6" t="n">
        <v>37575</v>
      </c>
      <c r="X11" s="6" t="n">
        <v>24255</v>
      </c>
      <c r="Y11" s="6" t="n">
        <v>65610</v>
      </c>
      <c r="Z11" s="6" t="n">
        <v>48645</v>
      </c>
      <c r="AA11" s="6" t="n">
        <v>39915</v>
      </c>
      <c r="AB11" s="6" t="n">
        <v>60930</v>
      </c>
      <c r="AC11" s="6" t="n">
        <v>112140</v>
      </c>
      <c r="AD11" s="6" t="n">
        <v>124335</v>
      </c>
      <c r="AE11" s="6" t="n">
        <v>124245</v>
      </c>
      <c r="AF11" s="6" t="n">
        <v>34965</v>
      </c>
      <c r="AG11" s="6" t="n">
        <v>144900</v>
      </c>
      <c r="AH11" s="6" t="n">
        <v>228825</v>
      </c>
    </row>
    <row r="12" hidden="1" outlineLevel="3" collapsed="1">
      <c r="A12" s="12" t="inlineStr">
        <is>
          <t>4002 - T-shirt sales</t>
        </is>
      </c>
      <c r="B12" s="6" t="n">
        <v>57065.60000000001</v>
      </c>
      <c r="C12" s="6" t="n">
        <v>42001.96000000001</v>
      </c>
      <c r="D12" s="6" t="n">
        <v>29497.88</v>
      </c>
      <c r="E12" s="6" t="n">
        <v>67639.51999999999</v>
      </c>
      <c r="F12" s="6" t="n">
        <v>106956.04</v>
      </c>
      <c r="G12" s="6" t="n">
        <v>151097.96</v>
      </c>
      <c r="H12" s="6" t="n">
        <v>62646.27999999999</v>
      </c>
      <c r="I12" s="6" t="n">
        <v>121977.72</v>
      </c>
      <c r="J12" s="6" t="n">
        <v>191253.68</v>
      </c>
      <c r="K12" s="6" t="n">
        <v>22607.64</v>
      </c>
      <c r="L12" s="6" t="n">
        <v>35370.72</v>
      </c>
      <c r="M12" s="6" t="n">
        <v>44692.56</v>
      </c>
      <c r="N12" s="6" t="n">
        <v>55931.04000000001</v>
      </c>
      <c r="O12" s="6" t="n">
        <v>69957.36</v>
      </c>
      <c r="P12" s="6" t="n">
        <v>40728.60000000001</v>
      </c>
      <c r="Q12" s="6" t="n">
        <v>70305.84</v>
      </c>
      <c r="R12" s="6" t="n">
        <v>104064.84</v>
      </c>
      <c r="S12" s="6" t="n">
        <v>146056.68</v>
      </c>
      <c r="T12" s="6" t="n">
        <v>43342.2</v>
      </c>
      <c r="U12" s="6" t="n">
        <v>157687.2</v>
      </c>
      <c r="V12" s="6" t="n">
        <v>235920.9600000001</v>
      </c>
      <c r="W12" s="6" t="n">
        <v>37575</v>
      </c>
      <c r="X12" s="6" t="n">
        <v>24255</v>
      </c>
      <c r="Y12" s="6" t="n">
        <v>65610</v>
      </c>
      <c r="Z12" s="6" t="n">
        <v>48645</v>
      </c>
      <c r="AA12" s="6" t="n">
        <v>39915</v>
      </c>
      <c r="AB12" s="6" t="n">
        <v>60930</v>
      </c>
      <c r="AC12" s="6" t="n">
        <v>112140</v>
      </c>
      <c r="AD12" s="6" t="n">
        <v>124335</v>
      </c>
      <c r="AE12" s="6" t="n">
        <v>124245</v>
      </c>
      <c r="AF12" s="6" t="n">
        <v>34965</v>
      </c>
      <c r="AG12" s="6" t="n">
        <v>144900</v>
      </c>
      <c r="AH12" s="6" t="n">
        <v>228825</v>
      </c>
    </row>
    <row r="13"/>
    <row r="14">
      <c r="A14" s="5" t="inlineStr">
        <is>
          <t>Cost of sales</t>
        </is>
      </c>
      <c r="B14" s="6" t="n">
        <v>42689.44016</v>
      </c>
      <c r="C14" s="6" t="n">
        <v>35930.91488</v>
      </c>
      <c r="D14" s="6" t="n">
        <v>39935.66308000001</v>
      </c>
      <c r="E14" s="6" t="n">
        <v>74182.4552</v>
      </c>
      <c r="F14" s="6" t="n">
        <v>99144.88124000002</v>
      </c>
      <c r="G14" s="6" t="n">
        <v>117165.32368</v>
      </c>
      <c r="H14" s="6" t="n">
        <v>41423.9258</v>
      </c>
      <c r="I14" s="6" t="n">
        <v>126252.76916</v>
      </c>
      <c r="J14" s="6" t="n">
        <v>178358.76</v>
      </c>
      <c r="K14" s="6" t="n">
        <v>39633.6286</v>
      </c>
      <c r="L14" s="6" t="n">
        <v>32683.59112</v>
      </c>
      <c r="M14" s="6" t="n">
        <v>46825.49496</v>
      </c>
      <c r="N14" s="6" t="n">
        <v>62802.23472</v>
      </c>
      <c r="O14" s="6" t="n">
        <v>47469.31552</v>
      </c>
      <c r="P14" s="6" t="n">
        <v>40145.68835999999</v>
      </c>
      <c r="Q14" s="6" t="n">
        <v>103284.1048</v>
      </c>
      <c r="R14" s="6" t="n">
        <v>114101.70204</v>
      </c>
      <c r="S14" s="6" t="n">
        <v>176728.4214000001</v>
      </c>
      <c r="T14" s="6" t="n">
        <v>59106.68027999999</v>
      </c>
      <c r="U14" s="6" t="n">
        <v>154140.0102</v>
      </c>
      <c r="V14" s="6" t="n">
        <v>249190.766</v>
      </c>
      <c r="W14" s="6" t="n">
        <v>45598.72884</v>
      </c>
      <c r="X14" s="6" t="n">
        <v>42871.48680000001</v>
      </c>
      <c r="Y14" s="6" t="n">
        <v>66492.35855999999</v>
      </c>
      <c r="Z14" s="6" t="n">
        <v>68658.23592000001</v>
      </c>
      <c r="AA14" s="6" t="n">
        <v>56946.352</v>
      </c>
      <c r="AB14" s="6" t="n">
        <v>71106.66388000001</v>
      </c>
      <c r="AC14" s="6" t="n">
        <v>111376.9644</v>
      </c>
      <c r="AD14" s="6" t="n">
        <v>126804.21132</v>
      </c>
      <c r="AE14" s="6" t="n">
        <v>183776.3661599999</v>
      </c>
      <c r="AF14" s="6" t="n">
        <v>58910.40088000002</v>
      </c>
      <c r="AG14" s="6" t="n">
        <v>207548.378</v>
      </c>
      <c r="AH14" s="6" t="n">
        <v>274645.4228000001</v>
      </c>
    </row>
    <row r="15" hidden="1" outlineLevel="1" collapsed="1">
      <c r="A15" s="10" t="inlineStr">
        <is>
          <t>Cost of sales</t>
        </is>
      </c>
      <c r="B15" s="6" t="n">
        <v>42689.44016</v>
      </c>
      <c r="C15" s="6" t="n">
        <v>35930.91488</v>
      </c>
      <c r="D15" s="6" t="n">
        <v>39935.66308000001</v>
      </c>
      <c r="E15" s="6" t="n">
        <v>74182.4552</v>
      </c>
      <c r="F15" s="6" t="n">
        <v>99144.88124000002</v>
      </c>
      <c r="G15" s="6" t="n">
        <v>117165.32368</v>
      </c>
      <c r="H15" s="6" t="n">
        <v>41423.9258</v>
      </c>
      <c r="I15" s="6" t="n">
        <v>126252.76916</v>
      </c>
      <c r="J15" s="6" t="n">
        <v>178358.76</v>
      </c>
      <c r="K15" s="6" t="n">
        <v>39633.6286</v>
      </c>
      <c r="L15" s="6" t="n">
        <v>32683.59112</v>
      </c>
      <c r="M15" s="6" t="n">
        <v>46825.49496</v>
      </c>
      <c r="N15" s="6" t="n">
        <v>62802.23472</v>
      </c>
      <c r="O15" s="6" t="n">
        <v>47469.31552</v>
      </c>
      <c r="P15" s="6" t="n">
        <v>40145.68835999999</v>
      </c>
      <c r="Q15" s="6" t="n">
        <v>103284.1048</v>
      </c>
      <c r="R15" s="6" t="n">
        <v>114101.70204</v>
      </c>
      <c r="S15" s="6" t="n">
        <v>176728.4214000001</v>
      </c>
      <c r="T15" s="6" t="n">
        <v>59106.68027999999</v>
      </c>
      <c r="U15" s="6" t="n">
        <v>154140.0102</v>
      </c>
      <c r="V15" s="6" t="n">
        <v>249190.766</v>
      </c>
      <c r="W15" s="6" t="n">
        <v>45598.72884</v>
      </c>
      <c r="X15" s="6" t="n">
        <v>42871.48680000001</v>
      </c>
      <c r="Y15" s="6" t="n">
        <v>66492.35855999999</v>
      </c>
      <c r="Z15" s="6" t="n">
        <v>68658.23592000001</v>
      </c>
      <c r="AA15" s="6" t="n">
        <v>56946.352</v>
      </c>
      <c r="AB15" s="6" t="n">
        <v>71106.66388000001</v>
      </c>
      <c r="AC15" s="6" t="n">
        <v>111376.9644</v>
      </c>
      <c r="AD15" s="6" t="n">
        <v>126804.21132</v>
      </c>
      <c r="AE15" s="6" t="n">
        <v>183776.3661599999</v>
      </c>
      <c r="AF15" s="6" t="n">
        <v>58910.40088000002</v>
      </c>
      <c r="AG15" s="6" t="n">
        <v>207548.378</v>
      </c>
      <c r="AH15" s="6" t="n">
        <v>274645.4228000001</v>
      </c>
    </row>
    <row r="16" hidden="1" outlineLevel="2" collapsed="1">
      <c r="A16" s="11" t="inlineStr">
        <is>
          <t>Hat cost of sales</t>
        </is>
      </c>
      <c r="B16" s="6" t="n">
        <v>23971.92336</v>
      </c>
      <c r="C16" s="6" t="n">
        <v>23120.31708</v>
      </c>
      <c r="D16" s="6" t="n">
        <v>29817.89024</v>
      </c>
      <c r="E16" s="6" t="n">
        <v>52199.61119999999</v>
      </c>
      <c r="F16" s="6" t="n">
        <v>63742.43200000001</v>
      </c>
      <c r="G16" s="6" t="n">
        <v>70627.15199999997</v>
      </c>
      <c r="H16" s="6" t="n">
        <v>21063.8848</v>
      </c>
      <c r="I16" s="6" t="n">
        <v>87097.92103999999</v>
      </c>
      <c r="J16" s="6" t="n">
        <v>111802.47936</v>
      </c>
      <c r="K16" s="6" t="n">
        <v>31743.56224</v>
      </c>
      <c r="L16" s="6" t="n">
        <v>19950.13192</v>
      </c>
      <c r="M16" s="6" t="n">
        <v>32479.18319999999</v>
      </c>
      <c r="N16" s="6" t="n">
        <v>42163.68096</v>
      </c>
      <c r="O16" s="6" t="n">
        <v>24243.472</v>
      </c>
      <c r="P16" s="6" t="n">
        <v>27071.80775999999</v>
      </c>
      <c r="Q16" s="6" t="n">
        <v>79872.26007999999</v>
      </c>
      <c r="R16" s="6" t="n">
        <v>78615.59159999999</v>
      </c>
      <c r="S16" s="6" t="n">
        <v>126777.03684</v>
      </c>
      <c r="T16" s="6" t="n">
        <v>44847.09647999999</v>
      </c>
      <c r="U16" s="6" t="n">
        <v>96899.55659999997</v>
      </c>
      <c r="V16" s="6" t="n">
        <v>165438.8252</v>
      </c>
      <c r="W16" s="6" t="n">
        <v>32409.90384</v>
      </c>
      <c r="X16" s="6" t="n">
        <v>34188.19680000001</v>
      </c>
      <c r="Y16" s="6" t="n">
        <v>44184.95856</v>
      </c>
      <c r="Z16" s="6" t="n">
        <v>50270.42592</v>
      </c>
      <c r="AA16" s="6" t="n">
        <v>43375.252</v>
      </c>
      <c r="AB16" s="6" t="n">
        <v>50085.81388000001</v>
      </c>
      <c r="AC16" s="6" t="n">
        <v>71903.68440000001</v>
      </c>
      <c r="AD16" s="6" t="n">
        <v>82665.28632000003</v>
      </c>
      <c r="AE16" s="6" t="n">
        <v>140787.59616</v>
      </c>
      <c r="AF16" s="6" t="n">
        <v>46532.79088000002</v>
      </c>
      <c r="AG16" s="6" t="n">
        <v>152486.378</v>
      </c>
      <c r="AH16" s="6" t="n">
        <v>189980.1728</v>
      </c>
    </row>
    <row r="17" hidden="1" outlineLevel="3" collapsed="1">
      <c r="A17" s="12" t="inlineStr">
        <is>
          <t>5001 - Hat cost of sales</t>
        </is>
      </c>
      <c r="B17" s="6" t="n">
        <v>23971.92336</v>
      </c>
      <c r="C17" s="6" t="n">
        <v>23120.31708</v>
      </c>
      <c r="D17" s="6" t="n">
        <v>29817.89024</v>
      </c>
      <c r="E17" s="6" t="n">
        <v>52199.61119999999</v>
      </c>
      <c r="F17" s="6" t="n">
        <v>63742.43200000001</v>
      </c>
      <c r="G17" s="6" t="n">
        <v>70627.15199999997</v>
      </c>
      <c r="H17" s="6" t="n">
        <v>21063.8848</v>
      </c>
      <c r="I17" s="6" t="n">
        <v>87097.92103999999</v>
      </c>
      <c r="J17" s="6" t="n">
        <v>111802.47936</v>
      </c>
      <c r="K17" s="6" t="n">
        <v>31743.56224</v>
      </c>
      <c r="L17" s="6" t="n">
        <v>19950.13192</v>
      </c>
      <c r="M17" s="6" t="n">
        <v>32479.18319999999</v>
      </c>
      <c r="N17" s="6" t="n">
        <v>42163.68096</v>
      </c>
      <c r="O17" s="6" t="n">
        <v>24243.472</v>
      </c>
      <c r="P17" s="6" t="n">
        <v>27071.80775999999</v>
      </c>
      <c r="Q17" s="6" t="n">
        <v>79872.26007999999</v>
      </c>
      <c r="R17" s="6" t="n">
        <v>78615.59159999999</v>
      </c>
      <c r="S17" s="6" t="n">
        <v>126777.03684</v>
      </c>
      <c r="T17" s="6" t="n">
        <v>44847.09647999999</v>
      </c>
      <c r="U17" s="6" t="n">
        <v>96899.55659999997</v>
      </c>
      <c r="V17" s="6" t="n">
        <v>165438.8252</v>
      </c>
      <c r="W17" s="6" t="n">
        <v>32409.90384</v>
      </c>
      <c r="X17" s="6" t="n">
        <v>34188.19680000001</v>
      </c>
      <c r="Y17" s="6" t="n">
        <v>44184.95856</v>
      </c>
      <c r="Z17" s="6" t="n">
        <v>50270.42592</v>
      </c>
      <c r="AA17" s="6" t="n">
        <v>43375.252</v>
      </c>
      <c r="AB17" s="6" t="n">
        <v>50085.81388000001</v>
      </c>
      <c r="AC17" s="6" t="n">
        <v>71903.68440000001</v>
      </c>
      <c r="AD17" s="6" t="n">
        <v>82665.28632000003</v>
      </c>
      <c r="AE17" s="6" t="n">
        <v>140787.59616</v>
      </c>
      <c r="AF17" s="6" t="n">
        <v>46532.79088000002</v>
      </c>
      <c r="AG17" s="6" t="n">
        <v>152486.378</v>
      </c>
      <c r="AH17" s="6" t="n">
        <v>189980.1728</v>
      </c>
    </row>
    <row r="18" hidden="1" outlineLevel="2" collapsed="1">
      <c r="A18" s="11" t="inlineStr">
        <is>
          <t>T-shirt cost of sales</t>
        </is>
      </c>
      <c r="B18" s="6" t="n">
        <v>18717.5168</v>
      </c>
      <c r="C18" s="6" t="n">
        <v>12810.5978</v>
      </c>
      <c r="D18" s="6" t="n">
        <v>10117.77284</v>
      </c>
      <c r="E18" s="6" t="n">
        <v>21982.844</v>
      </c>
      <c r="F18" s="6" t="n">
        <v>35402.44924000002</v>
      </c>
      <c r="G18" s="6" t="n">
        <v>46538.17168</v>
      </c>
      <c r="H18" s="6" t="n">
        <v>20360.041</v>
      </c>
      <c r="I18" s="6" t="n">
        <v>39154.84812</v>
      </c>
      <c r="J18" s="6" t="n">
        <v>66556.28063999997</v>
      </c>
      <c r="K18" s="6" t="n">
        <v>7890.066359999999</v>
      </c>
      <c r="L18" s="6" t="n">
        <v>12733.4592</v>
      </c>
      <c r="M18" s="6" t="n">
        <v>14346.31176</v>
      </c>
      <c r="N18" s="6" t="n">
        <v>20638.55376</v>
      </c>
      <c r="O18" s="6" t="n">
        <v>23225.84352</v>
      </c>
      <c r="P18" s="6" t="n">
        <v>13073.8806</v>
      </c>
      <c r="Q18" s="6" t="n">
        <v>23411.84472</v>
      </c>
      <c r="R18" s="6" t="n">
        <v>35486.11044</v>
      </c>
      <c r="S18" s="6" t="n">
        <v>49951.38456</v>
      </c>
      <c r="T18" s="6" t="n">
        <v>14259.5838</v>
      </c>
      <c r="U18" s="6" t="n">
        <v>57240.4536</v>
      </c>
      <c r="V18" s="6" t="n">
        <v>83751.94080000003</v>
      </c>
      <c r="W18" s="6" t="n">
        <v>13188.825</v>
      </c>
      <c r="X18" s="6" t="n">
        <v>8683.289999999999</v>
      </c>
      <c r="Y18" s="6" t="n">
        <v>22307.4</v>
      </c>
      <c r="Z18" s="6" t="n">
        <v>18387.81</v>
      </c>
      <c r="AA18" s="6" t="n">
        <v>13571.1</v>
      </c>
      <c r="AB18" s="6" t="n">
        <v>21020.85</v>
      </c>
      <c r="AC18" s="6" t="n">
        <v>39473.28</v>
      </c>
      <c r="AD18" s="6" t="n">
        <v>44138.925</v>
      </c>
      <c r="AE18" s="6" t="n">
        <v>42988.77</v>
      </c>
      <c r="AF18" s="6" t="n">
        <v>12377.61</v>
      </c>
      <c r="AG18" s="6" t="n">
        <v>55062</v>
      </c>
      <c r="AH18" s="6" t="n">
        <v>84665.25</v>
      </c>
    </row>
    <row r="19" hidden="1" outlineLevel="3" collapsed="1">
      <c r="A19" s="12" t="inlineStr">
        <is>
          <t>5002 - T-shirt cost of sales</t>
        </is>
      </c>
      <c r="B19" s="6" t="n">
        <v>18717.5168</v>
      </c>
      <c r="C19" s="6" t="n">
        <v>12810.5978</v>
      </c>
      <c r="D19" s="6" t="n">
        <v>10117.77284</v>
      </c>
      <c r="E19" s="6" t="n">
        <v>21982.844</v>
      </c>
      <c r="F19" s="6" t="n">
        <v>35402.44924000002</v>
      </c>
      <c r="G19" s="6" t="n">
        <v>46538.17168</v>
      </c>
      <c r="H19" s="6" t="n">
        <v>20360.041</v>
      </c>
      <c r="I19" s="6" t="n">
        <v>39154.84812</v>
      </c>
      <c r="J19" s="6" t="n">
        <v>66556.28063999997</v>
      </c>
      <c r="K19" s="6" t="n">
        <v>7890.066359999999</v>
      </c>
      <c r="L19" s="6" t="n">
        <v>12733.4592</v>
      </c>
      <c r="M19" s="6" t="n">
        <v>14346.31176</v>
      </c>
      <c r="N19" s="6" t="n">
        <v>20638.55376</v>
      </c>
      <c r="O19" s="6" t="n">
        <v>23225.84352</v>
      </c>
      <c r="P19" s="6" t="n">
        <v>13073.8806</v>
      </c>
      <c r="Q19" s="6" t="n">
        <v>23411.84472</v>
      </c>
      <c r="R19" s="6" t="n">
        <v>35486.11044</v>
      </c>
      <c r="S19" s="6" t="n">
        <v>49951.38456</v>
      </c>
      <c r="T19" s="6" t="n">
        <v>14259.5838</v>
      </c>
      <c r="U19" s="6" t="n">
        <v>57240.4536</v>
      </c>
      <c r="V19" s="6" t="n">
        <v>83751.94080000003</v>
      </c>
      <c r="W19" s="6" t="n">
        <v>13188.825</v>
      </c>
      <c r="X19" s="6" t="n">
        <v>8683.289999999999</v>
      </c>
      <c r="Y19" s="6" t="n">
        <v>22307.4</v>
      </c>
      <c r="Z19" s="6" t="n">
        <v>18387.81</v>
      </c>
      <c r="AA19" s="6" t="n">
        <v>13571.1</v>
      </c>
      <c r="AB19" s="6" t="n">
        <v>21020.85</v>
      </c>
      <c r="AC19" s="6" t="n">
        <v>39473.28</v>
      </c>
      <c r="AD19" s="6" t="n">
        <v>44138.925</v>
      </c>
      <c r="AE19" s="6" t="n">
        <v>42988.77</v>
      </c>
      <c r="AF19" s="6" t="n">
        <v>12377.61</v>
      </c>
      <c r="AG19" s="6" t="n">
        <v>55062</v>
      </c>
      <c r="AH19" s="6" t="n">
        <v>84665.25</v>
      </c>
    </row>
    <row r="20"/>
    <row r="21">
      <c r="A21" s="13" t="inlineStr">
        <is>
          <t>Gross Margin</t>
        </is>
      </c>
      <c r="B21" s="14">
        <f>B7-B14</f>
        <v/>
      </c>
      <c r="C21" s="14">
        <f>C7-C14</f>
        <v/>
      </c>
      <c r="D21" s="14">
        <f>D7-D14</f>
        <v/>
      </c>
      <c r="E21" s="14">
        <f>E7-E14</f>
        <v/>
      </c>
      <c r="F21" s="14">
        <f>F7-F14</f>
        <v/>
      </c>
      <c r="G21" s="14">
        <f>G7-G14</f>
        <v/>
      </c>
      <c r="H21" s="14">
        <f>H7-H14</f>
        <v/>
      </c>
      <c r="I21" s="14">
        <f>I7-I14</f>
        <v/>
      </c>
      <c r="J21" s="14">
        <f>J7-J14</f>
        <v/>
      </c>
      <c r="K21" s="14">
        <f>K7-K14</f>
        <v/>
      </c>
      <c r="L21" s="14">
        <f>L7-L14</f>
        <v/>
      </c>
      <c r="M21" s="14">
        <f>M7-M14</f>
        <v/>
      </c>
      <c r="N21" s="14">
        <f>N7-N14</f>
        <v/>
      </c>
      <c r="O21" s="14">
        <f>O7-O14</f>
        <v/>
      </c>
      <c r="P21" s="14">
        <f>P7-P14</f>
        <v/>
      </c>
      <c r="Q21" s="14">
        <f>Q7-Q14</f>
        <v/>
      </c>
      <c r="R21" s="14">
        <f>R7-R14</f>
        <v/>
      </c>
      <c r="S21" s="14">
        <f>S7-S14</f>
        <v/>
      </c>
      <c r="T21" s="14">
        <f>T7-T14</f>
        <v/>
      </c>
      <c r="U21" s="14">
        <f>U7-U14</f>
        <v/>
      </c>
      <c r="V21" s="14">
        <f>V7-V14</f>
        <v/>
      </c>
      <c r="W21" s="14">
        <f>W7-W14</f>
        <v/>
      </c>
      <c r="X21" s="14">
        <f>X7-X14</f>
        <v/>
      </c>
      <c r="Y21" s="14">
        <f>Y7-Y14</f>
        <v/>
      </c>
      <c r="Z21" s="14">
        <f>Z7-Z14</f>
        <v/>
      </c>
      <c r="AA21" s="14">
        <f>AA7-AA14</f>
        <v/>
      </c>
      <c r="AB21" s="14">
        <f>AB7-AB14</f>
        <v/>
      </c>
      <c r="AC21" s="14">
        <f>AC7-AC14</f>
        <v/>
      </c>
      <c r="AD21" s="14">
        <f>AD7-AD14</f>
        <v/>
      </c>
      <c r="AE21" s="14">
        <f>AE7-AE14</f>
        <v/>
      </c>
      <c r="AF21" s="14">
        <f>AF7-AF14</f>
        <v/>
      </c>
      <c r="AG21" s="14">
        <f>AG7-AG14</f>
        <v/>
      </c>
      <c r="AH21" s="14">
        <f>AH7-AH14</f>
        <v/>
      </c>
      <c r="AI21" s="13" t="n"/>
      <c r="AJ21" s="13" t="n"/>
      <c r="AK21" s="13" t="n"/>
      <c r="AL21" s="13" t="n"/>
      <c r="AM21" s="13" t="n"/>
      <c r="AN21" s="13" t="n"/>
      <c r="AO21" s="13" t="n"/>
      <c r="AP21" s="13" t="n"/>
      <c r="AQ21" s="13" t="n"/>
      <c r="AR21" s="13" t="n"/>
      <c r="AS21" s="13" t="n"/>
      <c r="AT21" s="13" t="n"/>
      <c r="AU21" s="13" t="n"/>
      <c r="AV21" s="13" t="n"/>
      <c r="AW21" s="13" t="n"/>
      <c r="AX21" s="13" t="n"/>
      <c r="AY21" s="13" t="n"/>
      <c r="AZ21" s="13" t="n"/>
      <c r="BA21" s="13" t="n"/>
      <c r="BB21" s="13" t="n"/>
      <c r="BC21" s="13" t="n"/>
      <c r="BD21" s="13" t="n"/>
      <c r="BE21" s="13" t="n"/>
      <c r="BF21" s="13" t="n"/>
      <c r="BG21" s="13" t="n"/>
      <c r="BH21" s="13" t="n"/>
      <c r="BI21" s="13" t="n"/>
      <c r="BJ21" s="13" t="n"/>
      <c r="BK21" s="13" t="n"/>
      <c r="BL21" s="13" t="n"/>
      <c r="BM21" s="13" t="n"/>
      <c r="BN21" s="13" t="n"/>
      <c r="BO21" s="13" t="n"/>
    </row>
    <row r="22">
      <c r="A22" s="21" t="inlineStr">
        <is>
          <t>Gross Margin (%)</t>
        </is>
      </c>
      <c r="B22" s="19">
        <f>IF($B$7=0, 0, B21/$B$7)</f>
        <v/>
      </c>
      <c r="C22" s="19">
        <f>IF($C$7=0, 0, C21/$C$7)</f>
        <v/>
      </c>
      <c r="D22" s="19">
        <f>IF($D$7=0, 0, D21/$D$7)</f>
        <v/>
      </c>
      <c r="E22" s="19">
        <f>IF($E$7=0, 0, E21/$E$7)</f>
        <v/>
      </c>
      <c r="F22" s="19">
        <f>IF($F$7=0, 0, F21/$F$7)</f>
        <v/>
      </c>
      <c r="G22" s="19">
        <f>IF($G$7=0, 0, G21/$G$7)</f>
        <v/>
      </c>
      <c r="H22" s="19">
        <f>IF($H$7=0, 0, H21/$H$7)</f>
        <v/>
      </c>
      <c r="I22" s="19">
        <f>IF($I$7=0, 0, I21/$I$7)</f>
        <v/>
      </c>
      <c r="J22" s="19">
        <f>IF($J$7=0, 0, J21/$J$7)</f>
        <v/>
      </c>
      <c r="K22" s="19">
        <f>IF($K$7=0, 0, K21/$K$7)</f>
        <v/>
      </c>
      <c r="L22" s="19">
        <f>IF($L$7=0, 0, L21/$L$7)</f>
        <v/>
      </c>
      <c r="M22" s="19">
        <f>IF($M$7=0, 0, M21/$M$7)</f>
        <v/>
      </c>
      <c r="N22" s="19">
        <f>IF($N$7=0, 0, N21/$N$7)</f>
        <v/>
      </c>
      <c r="O22" s="19">
        <f>IF($O$7=0, 0, O21/$O$7)</f>
        <v/>
      </c>
      <c r="P22" s="19">
        <f>IF($P$7=0, 0, P21/$P$7)</f>
        <v/>
      </c>
      <c r="Q22" s="19">
        <f>IF($Q$7=0, 0, Q21/$Q$7)</f>
        <v/>
      </c>
      <c r="R22" s="19">
        <f>IF($R$7=0, 0, R21/$R$7)</f>
        <v/>
      </c>
      <c r="S22" s="19">
        <f>IF($S$7=0, 0, S21/$S$7)</f>
        <v/>
      </c>
      <c r="T22" s="19">
        <f>IF($T$7=0, 0, T21/$T$7)</f>
        <v/>
      </c>
      <c r="U22" s="19">
        <f>IF($U$7=0, 0, U21/$U$7)</f>
        <v/>
      </c>
      <c r="V22" s="19">
        <f>IF($V$7=0, 0, V21/$V$7)</f>
        <v/>
      </c>
      <c r="W22" s="19">
        <f>IF($W$7=0, 0, W21/$W$7)</f>
        <v/>
      </c>
      <c r="X22" s="19">
        <f>IF($X$7=0, 0, X21/$X$7)</f>
        <v/>
      </c>
      <c r="Y22" s="19">
        <f>IF($Y$7=0, 0, Y21/$Y$7)</f>
        <v/>
      </c>
      <c r="Z22" s="19">
        <f>IF($Z$7=0, 0, Z21/$Z$7)</f>
        <v/>
      </c>
      <c r="AA22" s="19">
        <f>IF($AA$7=0, 0, AA21/$AA$7)</f>
        <v/>
      </c>
      <c r="AB22" s="19">
        <f>IF($AB$7=0, 0, AB21/$AB$7)</f>
        <v/>
      </c>
      <c r="AC22" s="19">
        <f>IF($AC$7=0, 0, AC21/$AC$7)</f>
        <v/>
      </c>
      <c r="AD22" s="19">
        <f>IF($AD$7=0, 0, AD21/$AD$7)</f>
        <v/>
      </c>
      <c r="AE22" s="19">
        <f>IF($AE$7=0, 0, AE21/$AE$7)</f>
        <v/>
      </c>
      <c r="AF22" s="19">
        <f>IF($AF$7=0, 0, AF21/$AF$7)</f>
        <v/>
      </c>
      <c r="AG22" s="19">
        <f>IF($AG$7=0, 0, AG21/$AG$7)</f>
        <v/>
      </c>
      <c r="AH22" s="19">
        <f>IF($AH$7=0, 0, AH21/$AH$7)</f>
        <v/>
      </c>
    </row>
    <row r="23"/>
    <row r="24">
      <c r="A24" s="5" t="inlineStr">
        <is>
          <t>Operating expenses</t>
        </is>
      </c>
      <c r="B24" s="6" t="n">
        <v>71256.85185185185</v>
      </c>
      <c r="C24" s="6" t="n">
        <v>61245.55478395062</v>
      </c>
      <c r="D24" s="6" t="n">
        <v>71234.16357381687</v>
      </c>
      <c r="E24" s="6" t="n">
        <v>61222.67743693201</v>
      </c>
      <c r="F24" s="6" t="n">
        <v>61211.09558223978</v>
      </c>
      <c r="G24" s="6" t="n">
        <v>62199.41721209178</v>
      </c>
      <c r="H24" s="6" t="n">
        <v>61187.64152219254</v>
      </c>
      <c r="I24" s="6" t="n">
        <v>61175.76770154414</v>
      </c>
      <c r="J24" s="6" t="n">
        <v>66163.79493239034</v>
      </c>
      <c r="K24" s="6" t="n">
        <v>61151.72239016027</v>
      </c>
      <c r="L24" s="6" t="n">
        <v>61139.5492434116</v>
      </c>
      <c r="M24" s="6" t="n">
        <v>62127.27465377337</v>
      </c>
      <c r="N24" s="6" t="n">
        <v>71114.89777588815</v>
      </c>
      <c r="O24" s="6" t="n">
        <v>61102.41775735388</v>
      </c>
      <c r="P24" s="6" t="n">
        <v>71089.83373866515</v>
      </c>
      <c r="Q24" s="6" t="n">
        <v>61077.14485315404</v>
      </c>
      <c r="R24" s="6" t="n">
        <v>61064.35022693032</v>
      </c>
      <c r="S24" s="6" t="n">
        <v>80851.44897882141</v>
      </c>
      <c r="T24" s="6" t="n">
        <v>61038.44022031159</v>
      </c>
      <c r="U24" s="6" t="n">
        <v>61025.32305548085</v>
      </c>
      <c r="V24" s="6" t="n">
        <v>66012.09658094319</v>
      </c>
      <c r="W24" s="6" t="n">
        <v>60998.75988578438</v>
      </c>
      <c r="X24" s="6" t="n">
        <v>60985.31205149926</v>
      </c>
      <c r="Y24" s="6" t="n">
        <v>61971.75215192841</v>
      </c>
      <c r="Z24" s="6" t="n">
        <v>70958.07925319448</v>
      </c>
      <c r="AA24" s="6" t="n">
        <v>60944.29241363777</v>
      </c>
      <c r="AB24" s="6" t="n">
        <v>70930.39068375142</v>
      </c>
      <c r="AC24" s="6" t="n">
        <v>60916.37310611601</v>
      </c>
      <c r="AD24" s="6" t="n">
        <v>60902.23871533365</v>
      </c>
      <c r="AE24" s="6" t="n">
        <v>61887.98653796143</v>
      </c>
      <c r="AF24" s="6" t="n">
        <v>60873.61559244444</v>
      </c>
      <c r="AG24" s="6" t="n">
        <v>60859.12488904814</v>
      </c>
      <c r="AH24" s="6" t="n">
        <v>65844.51342979021</v>
      </c>
    </row>
    <row r="25" hidden="1" outlineLevel="1" collapsed="1">
      <c r="A25" s="10" t="inlineStr">
        <is>
          <t>Advertising and promotions</t>
        </is>
      </c>
      <c r="B25" s="6" t="n">
        <v>11500</v>
      </c>
      <c r="C25" s="6" t="n">
        <v>1500</v>
      </c>
      <c r="D25" s="6" t="n">
        <v>6500</v>
      </c>
      <c r="E25" s="6" t="n">
        <v>1500</v>
      </c>
      <c r="F25" s="6" t="n">
        <v>1500</v>
      </c>
      <c r="G25" s="6" t="n">
        <v>1500</v>
      </c>
      <c r="H25" s="6" t="n">
        <v>1500</v>
      </c>
      <c r="I25" s="6" t="n">
        <v>1500</v>
      </c>
      <c r="J25" s="6" t="n">
        <v>1500</v>
      </c>
      <c r="K25" s="6" t="n">
        <v>1500</v>
      </c>
      <c r="L25" s="6" t="n">
        <v>1500</v>
      </c>
      <c r="M25" s="6" t="n">
        <v>1500</v>
      </c>
      <c r="N25" s="6" t="n">
        <v>11500</v>
      </c>
      <c r="O25" s="6" t="n">
        <v>1500</v>
      </c>
      <c r="P25" s="6" t="n">
        <v>6500</v>
      </c>
      <c r="Q25" s="6" t="n">
        <v>1500</v>
      </c>
      <c r="R25" s="6" t="n">
        <v>1500</v>
      </c>
      <c r="S25" s="6" t="n">
        <v>1500</v>
      </c>
      <c r="T25" s="6" t="n">
        <v>1500</v>
      </c>
      <c r="U25" s="6" t="n">
        <v>1500</v>
      </c>
      <c r="V25" s="6" t="n">
        <v>1500</v>
      </c>
      <c r="W25" s="6" t="n">
        <v>1500</v>
      </c>
      <c r="X25" s="6" t="n">
        <v>1500</v>
      </c>
      <c r="Y25" s="6" t="n">
        <v>1500</v>
      </c>
      <c r="Z25" s="6" t="n">
        <v>11500</v>
      </c>
      <c r="AA25" s="6" t="n">
        <v>1500</v>
      </c>
      <c r="AB25" s="6" t="n">
        <v>6500</v>
      </c>
      <c r="AC25" s="6" t="n">
        <v>1500</v>
      </c>
      <c r="AD25" s="6" t="n">
        <v>1500</v>
      </c>
      <c r="AE25" s="6" t="n">
        <v>1500</v>
      </c>
      <c r="AF25" s="6" t="n">
        <v>1500</v>
      </c>
      <c r="AG25" s="6" t="n">
        <v>1500</v>
      </c>
      <c r="AH25" s="6" t="n">
        <v>1500</v>
      </c>
    </row>
    <row r="26" hidden="1" outlineLevel="2" collapsed="1">
      <c r="A26" s="11" t="inlineStr">
        <is>
          <t>Donations</t>
        </is>
      </c>
      <c r="B26" s="6" t="n">
        <v>0</v>
      </c>
      <c r="C26" s="6" t="n">
        <v>0</v>
      </c>
      <c r="D26" s="6" t="n">
        <v>5000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  <c r="L26" s="6" t="n">
        <v>0</v>
      </c>
      <c r="M26" s="6" t="n">
        <v>0</v>
      </c>
      <c r="N26" s="6" t="n">
        <v>0</v>
      </c>
      <c r="O26" s="6" t="n">
        <v>0</v>
      </c>
      <c r="P26" s="6" t="n">
        <v>5000</v>
      </c>
      <c r="Q26" s="6" t="n">
        <v>0</v>
      </c>
      <c r="R26" s="6" t="n">
        <v>0</v>
      </c>
      <c r="S26" s="6" t="n">
        <v>0</v>
      </c>
      <c r="T26" s="6" t="n">
        <v>0</v>
      </c>
      <c r="U26" s="6" t="n">
        <v>0</v>
      </c>
      <c r="V26" s="6" t="n">
        <v>0</v>
      </c>
      <c r="W26" s="6" t="n">
        <v>0</v>
      </c>
      <c r="X26" s="6" t="n">
        <v>0</v>
      </c>
      <c r="Y26" s="6" t="n">
        <v>0</v>
      </c>
      <c r="Z26" s="6" t="n">
        <v>0</v>
      </c>
      <c r="AA26" s="6" t="n">
        <v>0</v>
      </c>
      <c r="AB26" s="6" t="n">
        <v>5000</v>
      </c>
      <c r="AC26" s="6" t="n">
        <v>0</v>
      </c>
      <c r="AD26" s="6" t="n">
        <v>0</v>
      </c>
      <c r="AE26" s="6" t="n">
        <v>0</v>
      </c>
      <c r="AF26" s="6" t="n">
        <v>0</v>
      </c>
      <c r="AG26" s="6" t="n">
        <v>0</v>
      </c>
      <c r="AH26" s="6" t="n">
        <v>0</v>
      </c>
    </row>
    <row r="27" hidden="1" outlineLevel="3" collapsed="1">
      <c r="A27" s="12" t="inlineStr">
        <is>
          <t>6003 - Donations - golf tournaments</t>
        </is>
      </c>
      <c r="B27" s="6" t="n">
        <v>0</v>
      </c>
      <c r="C27" s="6" t="n">
        <v>0</v>
      </c>
      <c r="D27" s="6" t="n">
        <v>5000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5000</v>
      </c>
      <c r="Q27" s="6" t="n">
        <v>0</v>
      </c>
      <c r="R27" s="6" t="n">
        <v>0</v>
      </c>
      <c r="S27" s="6" t="n">
        <v>0</v>
      </c>
      <c r="T27" s="6" t="n">
        <v>0</v>
      </c>
      <c r="U27" s="6" t="n">
        <v>0</v>
      </c>
      <c r="V27" s="6" t="n">
        <v>0</v>
      </c>
      <c r="W27" s="6" t="n">
        <v>0</v>
      </c>
      <c r="X27" s="6" t="n">
        <v>0</v>
      </c>
      <c r="Y27" s="6" t="n">
        <v>0</v>
      </c>
      <c r="Z27" s="6" t="n">
        <v>0</v>
      </c>
      <c r="AA27" s="6" t="n">
        <v>0</v>
      </c>
      <c r="AB27" s="6" t="n">
        <v>5000</v>
      </c>
      <c r="AC27" s="6" t="n">
        <v>0</v>
      </c>
      <c r="AD27" s="6" t="n">
        <v>0</v>
      </c>
      <c r="AE27" s="6" t="n">
        <v>0</v>
      </c>
      <c r="AF27" s="6" t="n">
        <v>0</v>
      </c>
      <c r="AG27" s="6" t="n">
        <v>0</v>
      </c>
      <c r="AH27" s="6" t="n">
        <v>0</v>
      </c>
    </row>
    <row r="28" hidden="1" outlineLevel="2" collapsed="1">
      <c r="A28" s="11" t="inlineStr">
        <is>
          <t>Other Advertising and promotions</t>
        </is>
      </c>
      <c r="B28" s="6" t="n">
        <v>500</v>
      </c>
      <c r="C28" s="6" t="n">
        <v>500</v>
      </c>
      <c r="D28" s="6" t="n">
        <v>500</v>
      </c>
      <c r="E28" s="6" t="n">
        <v>500</v>
      </c>
      <c r="F28" s="6" t="n">
        <v>500</v>
      </c>
      <c r="G28" s="6" t="n">
        <v>500</v>
      </c>
      <c r="H28" s="6" t="n">
        <v>500</v>
      </c>
      <c r="I28" s="6" t="n">
        <v>500</v>
      </c>
      <c r="J28" s="6" t="n">
        <v>500</v>
      </c>
      <c r="K28" s="6" t="n">
        <v>500</v>
      </c>
      <c r="L28" s="6" t="n">
        <v>500</v>
      </c>
      <c r="M28" s="6" t="n">
        <v>500</v>
      </c>
      <c r="N28" s="6" t="n">
        <v>500</v>
      </c>
      <c r="O28" s="6" t="n">
        <v>500</v>
      </c>
      <c r="P28" s="6" t="n">
        <v>500</v>
      </c>
      <c r="Q28" s="6" t="n">
        <v>500</v>
      </c>
      <c r="R28" s="6" t="n">
        <v>500</v>
      </c>
      <c r="S28" s="6" t="n">
        <v>500</v>
      </c>
      <c r="T28" s="6" t="n">
        <v>500</v>
      </c>
      <c r="U28" s="6" t="n">
        <v>500</v>
      </c>
      <c r="V28" s="6" t="n">
        <v>500</v>
      </c>
      <c r="W28" s="6" t="n">
        <v>500</v>
      </c>
      <c r="X28" s="6" t="n">
        <v>500</v>
      </c>
      <c r="Y28" s="6" t="n">
        <v>500</v>
      </c>
      <c r="Z28" s="6" t="n">
        <v>500</v>
      </c>
      <c r="AA28" s="6" t="n">
        <v>500</v>
      </c>
      <c r="AB28" s="6" t="n">
        <v>500</v>
      </c>
      <c r="AC28" s="6" t="n">
        <v>500</v>
      </c>
      <c r="AD28" s="6" t="n">
        <v>500</v>
      </c>
      <c r="AE28" s="6" t="n">
        <v>500</v>
      </c>
      <c r="AF28" s="6" t="n">
        <v>500</v>
      </c>
      <c r="AG28" s="6" t="n">
        <v>500</v>
      </c>
      <c r="AH28" s="6" t="n">
        <v>500</v>
      </c>
    </row>
    <row r="29" hidden="1" outlineLevel="3" collapsed="1">
      <c r="A29" s="12" t="inlineStr">
        <is>
          <t>6002 - Promotion - commercials</t>
        </is>
      </c>
      <c r="B29" s="6" t="n">
        <v>500</v>
      </c>
      <c r="C29" s="6" t="n">
        <v>500</v>
      </c>
      <c r="D29" s="6" t="n">
        <v>500</v>
      </c>
      <c r="E29" s="6" t="n">
        <v>500</v>
      </c>
      <c r="F29" s="6" t="n">
        <v>500</v>
      </c>
      <c r="G29" s="6" t="n">
        <v>500</v>
      </c>
      <c r="H29" s="6" t="n">
        <v>500</v>
      </c>
      <c r="I29" s="6" t="n">
        <v>500</v>
      </c>
      <c r="J29" s="6" t="n">
        <v>500</v>
      </c>
      <c r="K29" s="6" t="n">
        <v>500</v>
      </c>
      <c r="L29" s="6" t="n">
        <v>500</v>
      </c>
      <c r="M29" s="6" t="n">
        <v>500</v>
      </c>
      <c r="N29" s="6" t="n">
        <v>500</v>
      </c>
      <c r="O29" s="6" t="n">
        <v>500</v>
      </c>
      <c r="P29" s="6" t="n">
        <v>500</v>
      </c>
      <c r="Q29" s="6" t="n">
        <v>500</v>
      </c>
      <c r="R29" s="6" t="n">
        <v>500</v>
      </c>
      <c r="S29" s="6" t="n">
        <v>500</v>
      </c>
      <c r="T29" s="6" t="n">
        <v>500</v>
      </c>
      <c r="U29" s="6" t="n">
        <v>500</v>
      </c>
      <c r="V29" s="6" t="n">
        <v>500</v>
      </c>
      <c r="W29" s="6" t="n">
        <v>500</v>
      </c>
      <c r="X29" s="6" t="n">
        <v>500</v>
      </c>
      <c r="Y29" s="6" t="n">
        <v>500</v>
      </c>
      <c r="Z29" s="6" t="n">
        <v>500</v>
      </c>
      <c r="AA29" s="6" t="n">
        <v>500</v>
      </c>
      <c r="AB29" s="6" t="n">
        <v>500</v>
      </c>
      <c r="AC29" s="6" t="n">
        <v>500</v>
      </c>
      <c r="AD29" s="6" t="n">
        <v>500</v>
      </c>
      <c r="AE29" s="6" t="n">
        <v>500</v>
      </c>
      <c r="AF29" s="6" t="n">
        <v>500</v>
      </c>
      <c r="AG29" s="6" t="n">
        <v>500</v>
      </c>
      <c r="AH29" s="6" t="n">
        <v>500</v>
      </c>
    </row>
    <row r="30" hidden="1" outlineLevel="2" collapsed="1">
      <c r="A30" s="11" t="inlineStr">
        <is>
          <t>Promotions/ads</t>
        </is>
      </c>
      <c r="B30" s="6" t="n">
        <v>11000</v>
      </c>
      <c r="C30" s="6" t="n">
        <v>1000</v>
      </c>
      <c r="D30" s="6" t="n">
        <v>1000</v>
      </c>
      <c r="E30" s="6" t="n">
        <v>1000</v>
      </c>
      <c r="F30" s="6" t="n">
        <v>1000</v>
      </c>
      <c r="G30" s="6" t="n">
        <v>1000</v>
      </c>
      <c r="H30" s="6" t="n">
        <v>1000</v>
      </c>
      <c r="I30" s="6" t="n">
        <v>1000</v>
      </c>
      <c r="J30" s="6" t="n">
        <v>1000</v>
      </c>
      <c r="K30" s="6" t="n">
        <v>1000</v>
      </c>
      <c r="L30" s="6" t="n">
        <v>1000</v>
      </c>
      <c r="M30" s="6" t="n">
        <v>1000</v>
      </c>
      <c r="N30" s="6" t="n">
        <v>11000</v>
      </c>
      <c r="O30" s="6" t="n">
        <v>1000</v>
      </c>
      <c r="P30" s="6" t="n">
        <v>1000</v>
      </c>
      <c r="Q30" s="6" t="n">
        <v>1000</v>
      </c>
      <c r="R30" s="6" t="n">
        <v>1000</v>
      </c>
      <c r="S30" s="6" t="n">
        <v>1000</v>
      </c>
      <c r="T30" s="6" t="n">
        <v>1000</v>
      </c>
      <c r="U30" s="6" t="n">
        <v>1000</v>
      </c>
      <c r="V30" s="6" t="n">
        <v>1000</v>
      </c>
      <c r="W30" s="6" t="n">
        <v>1000</v>
      </c>
      <c r="X30" s="6" t="n">
        <v>1000</v>
      </c>
      <c r="Y30" s="6" t="n">
        <v>1000</v>
      </c>
      <c r="Z30" s="6" t="n">
        <v>11000</v>
      </c>
      <c r="AA30" s="6" t="n">
        <v>1000</v>
      </c>
      <c r="AB30" s="6" t="n">
        <v>1000</v>
      </c>
      <c r="AC30" s="6" t="n">
        <v>1000</v>
      </c>
      <c r="AD30" s="6" t="n">
        <v>1000</v>
      </c>
      <c r="AE30" s="6" t="n">
        <v>1000</v>
      </c>
      <c r="AF30" s="6" t="n">
        <v>1000</v>
      </c>
      <c r="AG30" s="6" t="n">
        <v>1000</v>
      </c>
      <c r="AH30" s="6" t="n">
        <v>1000</v>
      </c>
    </row>
    <row r="31" hidden="1" outlineLevel="3" collapsed="1">
      <c r="A31" s="12" t="inlineStr">
        <is>
          <t>6000 - Online marketing ads</t>
        </is>
      </c>
      <c r="B31" s="6" t="n">
        <v>1000</v>
      </c>
      <c r="C31" s="6" t="n">
        <v>1000</v>
      </c>
      <c r="D31" s="6" t="n">
        <v>1000</v>
      </c>
      <c r="E31" s="6" t="n">
        <v>1000</v>
      </c>
      <c r="F31" s="6" t="n">
        <v>1000</v>
      </c>
      <c r="G31" s="6" t="n">
        <v>1000</v>
      </c>
      <c r="H31" s="6" t="n">
        <v>1000</v>
      </c>
      <c r="I31" s="6" t="n">
        <v>1000</v>
      </c>
      <c r="J31" s="6" t="n">
        <v>1000</v>
      </c>
      <c r="K31" s="6" t="n">
        <v>1000</v>
      </c>
      <c r="L31" s="6" t="n">
        <v>1000</v>
      </c>
      <c r="M31" s="6" t="n">
        <v>1000</v>
      </c>
      <c r="N31" s="6" t="n">
        <v>1000</v>
      </c>
      <c r="O31" s="6" t="n">
        <v>1000</v>
      </c>
      <c r="P31" s="6" t="n">
        <v>1000</v>
      </c>
      <c r="Q31" s="6" t="n">
        <v>1000</v>
      </c>
      <c r="R31" s="6" t="n">
        <v>1000</v>
      </c>
      <c r="S31" s="6" t="n">
        <v>1000</v>
      </c>
      <c r="T31" s="6" t="n">
        <v>1000</v>
      </c>
      <c r="U31" s="6" t="n">
        <v>1000</v>
      </c>
      <c r="V31" s="6" t="n">
        <v>1000</v>
      </c>
      <c r="W31" s="6" t="n">
        <v>1000</v>
      </c>
      <c r="X31" s="6" t="n">
        <v>1000</v>
      </c>
      <c r="Y31" s="6" t="n">
        <v>1000</v>
      </c>
      <c r="Z31" s="6" t="n">
        <v>1000</v>
      </c>
      <c r="AA31" s="6" t="n">
        <v>1000</v>
      </c>
      <c r="AB31" s="6" t="n">
        <v>1000</v>
      </c>
      <c r="AC31" s="6" t="n">
        <v>1000</v>
      </c>
      <c r="AD31" s="6" t="n">
        <v>1000</v>
      </c>
      <c r="AE31" s="6" t="n">
        <v>1000</v>
      </c>
      <c r="AF31" s="6" t="n">
        <v>1000</v>
      </c>
      <c r="AG31" s="6" t="n">
        <v>1000</v>
      </c>
      <c r="AH31" s="6" t="n">
        <v>1000</v>
      </c>
    </row>
    <row r="32" hidden="1" outlineLevel="3" collapsed="1">
      <c r="A32" s="12" t="inlineStr">
        <is>
          <t>6001 - Promotion - trade shows</t>
        </is>
      </c>
      <c r="B32" s="6" t="n">
        <v>10000</v>
      </c>
      <c r="C32" s="6" t="n">
        <v>0</v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0</v>
      </c>
      <c r="L32" s="6" t="n">
        <v>0</v>
      </c>
      <c r="M32" s="6" t="n">
        <v>0</v>
      </c>
      <c r="N32" s="6" t="n">
        <v>10000</v>
      </c>
      <c r="O32" s="6" t="n">
        <v>0</v>
      </c>
      <c r="P32" s="6" t="n">
        <v>0</v>
      </c>
      <c r="Q32" s="6" t="n">
        <v>0</v>
      </c>
      <c r="R32" s="6" t="n">
        <v>0</v>
      </c>
      <c r="S32" s="6" t="n">
        <v>0</v>
      </c>
      <c r="T32" s="6" t="n">
        <v>0</v>
      </c>
      <c r="U32" s="6" t="n">
        <v>0</v>
      </c>
      <c r="V32" s="6" t="n">
        <v>0</v>
      </c>
      <c r="W32" s="6" t="n">
        <v>0</v>
      </c>
      <c r="X32" s="6" t="n">
        <v>0</v>
      </c>
      <c r="Y32" s="6" t="n">
        <v>0</v>
      </c>
      <c r="Z32" s="6" t="n">
        <v>10000</v>
      </c>
      <c r="AA32" s="6" t="n">
        <v>0</v>
      </c>
      <c r="AB32" s="6" t="n">
        <v>0</v>
      </c>
      <c r="AC32" s="6" t="n">
        <v>0</v>
      </c>
      <c r="AD32" s="6" t="n">
        <v>0</v>
      </c>
      <c r="AE32" s="6" t="n">
        <v>0</v>
      </c>
      <c r="AF32" s="6" t="n">
        <v>0</v>
      </c>
      <c r="AG32" s="6" t="n">
        <v>0</v>
      </c>
      <c r="AH32" s="6" t="n">
        <v>0</v>
      </c>
    </row>
    <row r="33" hidden="1" outlineLevel="1" collapsed="1">
      <c r="A33" s="10" t="inlineStr">
        <is>
          <t>Amortization</t>
        </is>
      </c>
      <c r="B33" s="6" t="n">
        <v>500</v>
      </c>
      <c r="C33" s="6" t="n">
        <v>500</v>
      </c>
      <c r="D33" s="6" t="n">
        <v>500</v>
      </c>
      <c r="E33" s="6" t="n">
        <v>500</v>
      </c>
      <c r="F33" s="6" t="n">
        <v>500</v>
      </c>
      <c r="G33" s="6" t="n">
        <v>500</v>
      </c>
      <c r="H33" s="6" t="n">
        <v>500</v>
      </c>
      <c r="I33" s="6" t="n">
        <v>500</v>
      </c>
      <c r="J33" s="6" t="n">
        <v>500</v>
      </c>
      <c r="K33" s="6" t="n">
        <v>500</v>
      </c>
      <c r="L33" s="6" t="n">
        <v>500</v>
      </c>
      <c r="M33" s="6" t="n">
        <v>500</v>
      </c>
      <c r="N33" s="6" t="n">
        <v>500</v>
      </c>
      <c r="O33" s="6" t="n">
        <v>500</v>
      </c>
      <c r="P33" s="6" t="n">
        <v>500</v>
      </c>
      <c r="Q33" s="6" t="n">
        <v>500</v>
      </c>
      <c r="R33" s="6" t="n">
        <v>500</v>
      </c>
      <c r="S33" s="6" t="n">
        <v>500</v>
      </c>
      <c r="T33" s="6" t="n">
        <v>500</v>
      </c>
      <c r="U33" s="6" t="n">
        <v>500</v>
      </c>
      <c r="V33" s="6" t="n">
        <v>500</v>
      </c>
      <c r="W33" s="6" t="n">
        <v>500</v>
      </c>
      <c r="X33" s="6" t="n">
        <v>500</v>
      </c>
      <c r="Y33" s="6" t="n">
        <v>500</v>
      </c>
      <c r="Z33" s="6" t="n">
        <v>500</v>
      </c>
      <c r="AA33" s="6" t="n">
        <v>500</v>
      </c>
      <c r="AB33" s="6" t="n">
        <v>500</v>
      </c>
      <c r="AC33" s="6" t="n">
        <v>500</v>
      </c>
      <c r="AD33" s="6" t="n">
        <v>500</v>
      </c>
      <c r="AE33" s="6" t="n">
        <v>500</v>
      </c>
      <c r="AF33" s="6" t="n">
        <v>500</v>
      </c>
      <c r="AG33" s="6" t="n">
        <v>500</v>
      </c>
      <c r="AH33" s="6" t="n">
        <v>500</v>
      </c>
    </row>
    <row r="34" hidden="1" outlineLevel="2" collapsed="1">
      <c r="A34" s="11" t="inlineStr"/>
      <c r="B34" s="6" t="n">
        <v>500</v>
      </c>
      <c r="C34" s="6" t="n">
        <v>500</v>
      </c>
      <c r="D34" s="6" t="n">
        <v>500</v>
      </c>
      <c r="E34" s="6" t="n">
        <v>500</v>
      </c>
      <c r="F34" s="6" t="n">
        <v>500</v>
      </c>
      <c r="G34" s="6" t="n">
        <v>500</v>
      </c>
      <c r="H34" s="6" t="n">
        <v>500</v>
      </c>
      <c r="I34" s="6" t="n">
        <v>500</v>
      </c>
      <c r="J34" s="6" t="n">
        <v>500</v>
      </c>
      <c r="K34" s="6" t="n">
        <v>500</v>
      </c>
      <c r="L34" s="6" t="n">
        <v>500</v>
      </c>
      <c r="M34" s="6" t="n">
        <v>500</v>
      </c>
      <c r="N34" s="6" t="n">
        <v>500</v>
      </c>
      <c r="O34" s="6" t="n">
        <v>500</v>
      </c>
      <c r="P34" s="6" t="n">
        <v>500</v>
      </c>
      <c r="Q34" s="6" t="n">
        <v>500</v>
      </c>
      <c r="R34" s="6" t="n">
        <v>500</v>
      </c>
      <c r="S34" s="6" t="n">
        <v>500</v>
      </c>
      <c r="T34" s="6" t="n">
        <v>500</v>
      </c>
      <c r="U34" s="6" t="n">
        <v>500</v>
      </c>
      <c r="V34" s="6" t="n">
        <v>500</v>
      </c>
      <c r="W34" s="6" t="n">
        <v>500</v>
      </c>
      <c r="X34" s="6" t="n">
        <v>500</v>
      </c>
      <c r="Y34" s="6" t="n">
        <v>500</v>
      </c>
      <c r="Z34" s="6" t="n">
        <v>500</v>
      </c>
      <c r="AA34" s="6" t="n">
        <v>500</v>
      </c>
      <c r="AB34" s="6" t="n">
        <v>500</v>
      </c>
      <c r="AC34" s="6" t="n">
        <v>500</v>
      </c>
      <c r="AD34" s="6" t="n">
        <v>500</v>
      </c>
      <c r="AE34" s="6" t="n">
        <v>500</v>
      </c>
      <c r="AF34" s="6" t="n">
        <v>500</v>
      </c>
      <c r="AG34" s="6" t="n">
        <v>500</v>
      </c>
      <c r="AH34" s="6" t="n">
        <v>500</v>
      </c>
    </row>
    <row r="35" hidden="1" outlineLevel="3" collapsed="1">
      <c r="A35" s="12" t="inlineStr">
        <is>
          <t>6101 - Amortization - software</t>
        </is>
      </c>
      <c r="B35" s="6" t="n">
        <v>500</v>
      </c>
      <c r="C35" s="6" t="n">
        <v>500</v>
      </c>
      <c r="D35" s="6" t="n">
        <v>500</v>
      </c>
      <c r="E35" s="6" t="n">
        <v>500</v>
      </c>
      <c r="F35" s="6" t="n">
        <v>500</v>
      </c>
      <c r="G35" s="6" t="n">
        <v>500</v>
      </c>
      <c r="H35" s="6" t="n">
        <v>500</v>
      </c>
      <c r="I35" s="6" t="n">
        <v>500</v>
      </c>
      <c r="J35" s="6" t="n">
        <v>500</v>
      </c>
      <c r="K35" s="6" t="n">
        <v>500</v>
      </c>
      <c r="L35" s="6" t="n">
        <v>500</v>
      </c>
      <c r="M35" s="6" t="n">
        <v>500</v>
      </c>
      <c r="N35" s="6" t="n">
        <v>500</v>
      </c>
      <c r="O35" s="6" t="n">
        <v>500</v>
      </c>
      <c r="P35" s="6" t="n">
        <v>500</v>
      </c>
      <c r="Q35" s="6" t="n">
        <v>500</v>
      </c>
      <c r="R35" s="6" t="n">
        <v>500</v>
      </c>
      <c r="S35" s="6" t="n">
        <v>500</v>
      </c>
      <c r="T35" s="6" t="n">
        <v>500</v>
      </c>
      <c r="U35" s="6" t="n">
        <v>500</v>
      </c>
      <c r="V35" s="6" t="n">
        <v>500</v>
      </c>
      <c r="W35" s="6" t="n">
        <v>500</v>
      </c>
      <c r="X35" s="6" t="n">
        <v>500</v>
      </c>
      <c r="Y35" s="6" t="n">
        <v>500</v>
      </c>
      <c r="Z35" s="6" t="n">
        <v>500</v>
      </c>
      <c r="AA35" s="6" t="n">
        <v>500</v>
      </c>
      <c r="AB35" s="6" t="n">
        <v>500</v>
      </c>
      <c r="AC35" s="6" t="n">
        <v>500</v>
      </c>
      <c r="AD35" s="6" t="n">
        <v>500</v>
      </c>
      <c r="AE35" s="6" t="n">
        <v>500</v>
      </c>
      <c r="AF35" s="6" t="n">
        <v>500</v>
      </c>
      <c r="AG35" s="6" t="n">
        <v>500</v>
      </c>
      <c r="AH35" s="6" t="n">
        <v>500</v>
      </c>
    </row>
    <row r="36" hidden="1" outlineLevel="1" collapsed="1">
      <c r="A36" s="10" t="inlineStr">
        <is>
          <t>Bad debt</t>
        </is>
      </c>
      <c r="B36" s="6" t="n">
        <v>1000</v>
      </c>
      <c r="C36" s="6" t="n">
        <v>1000</v>
      </c>
      <c r="D36" s="6" t="n">
        <v>1000</v>
      </c>
      <c r="E36" s="6" t="n">
        <v>1000</v>
      </c>
      <c r="F36" s="6" t="n">
        <v>1000</v>
      </c>
      <c r="G36" s="6" t="n">
        <v>1000</v>
      </c>
      <c r="H36" s="6" t="n">
        <v>1000</v>
      </c>
      <c r="I36" s="6" t="n">
        <v>1000</v>
      </c>
      <c r="J36" s="6" t="n">
        <v>1000</v>
      </c>
      <c r="K36" s="6" t="n">
        <v>1000</v>
      </c>
      <c r="L36" s="6" t="n">
        <v>1000</v>
      </c>
      <c r="M36" s="6" t="n">
        <v>1000</v>
      </c>
      <c r="N36" s="6" t="n">
        <v>1000</v>
      </c>
      <c r="O36" s="6" t="n">
        <v>1000</v>
      </c>
      <c r="P36" s="6" t="n">
        <v>1000</v>
      </c>
      <c r="Q36" s="6" t="n">
        <v>1000</v>
      </c>
      <c r="R36" s="6" t="n">
        <v>1000</v>
      </c>
      <c r="S36" s="6" t="n">
        <v>1000</v>
      </c>
      <c r="T36" s="6" t="n">
        <v>1000</v>
      </c>
      <c r="U36" s="6" t="n">
        <v>1000</v>
      </c>
      <c r="V36" s="6" t="n">
        <v>1000</v>
      </c>
      <c r="W36" s="6" t="n">
        <v>1000</v>
      </c>
      <c r="X36" s="6" t="n">
        <v>1000</v>
      </c>
      <c r="Y36" s="6" t="n">
        <v>1000</v>
      </c>
      <c r="Z36" s="6" t="n">
        <v>1000</v>
      </c>
      <c r="AA36" s="6" t="n">
        <v>1000</v>
      </c>
      <c r="AB36" s="6" t="n">
        <v>1000</v>
      </c>
      <c r="AC36" s="6" t="n">
        <v>1000</v>
      </c>
      <c r="AD36" s="6" t="n">
        <v>1000</v>
      </c>
      <c r="AE36" s="6" t="n">
        <v>1000</v>
      </c>
      <c r="AF36" s="6" t="n">
        <v>1000</v>
      </c>
      <c r="AG36" s="6" t="n">
        <v>1000</v>
      </c>
      <c r="AH36" s="6" t="n">
        <v>1000</v>
      </c>
    </row>
    <row r="37" hidden="1" outlineLevel="2" collapsed="1">
      <c r="A37" s="11" t="inlineStr"/>
      <c r="B37" s="6" t="n">
        <v>1000</v>
      </c>
      <c r="C37" s="6" t="n">
        <v>1000</v>
      </c>
      <c r="D37" s="6" t="n">
        <v>1000</v>
      </c>
      <c r="E37" s="6" t="n">
        <v>1000</v>
      </c>
      <c r="F37" s="6" t="n">
        <v>1000</v>
      </c>
      <c r="G37" s="6" t="n">
        <v>1000</v>
      </c>
      <c r="H37" s="6" t="n">
        <v>1000</v>
      </c>
      <c r="I37" s="6" t="n">
        <v>1000</v>
      </c>
      <c r="J37" s="6" t="n">
        <v>1000</v>
      </c>
      <c r="K37" s="6" t="n">
        <v>1000</v>
      </c>
      <c r="L37" s="6" t="n">
        <v>1000</v>
      </c>
      <c r="M37" s="6" t="n">
        <v>1000</v>
      </c>
      <c r="N37" s="6" t="n">
        <v>1000</v>
      </c>
      <c r="O37" s="6" t="n">
        <v>1000</v>
      </c>
      <c r="P37" s="6" t="n">
        <v>1000</v>
      </c>
      <c r="Q37" s="6" t="n">
        <v>1000</v>
      </c>
      <c r="R37" s="6" t="n">
        <v>1000</v>
      </c>
      <c r="S37" s="6" t="n">
        <v>1000</v>
      </c>
      <c r="T37" s="6" t="n">
        <v>1000</v>
      </c>
      <c r="U37" s="6" t="n">
        <v>1000</v>
      </c>
      <c r="V37" s="6" t="n">
        <v>1000</v>
      </c>
      <c r="W37" s="6" t="n">
        <v>1000</v>
      </c>
      <c r="X37" s="6" t="n">
        <v>1000</v>
      </c>
      <c r="Y37" s="6" t="n">
        <v>1000</v>
      </c>
      <c r="Z37" s="6" t="n">
        <v>1000</v>
      </c>
      <c r="AA37" s="6" t="n">
        <v>1000</v>
      </c>
      <c r="AB37" s="6" t="n">
        <v>1000</v>
      </c>
      <c r="AC37" s="6" t="n">
        <v>1000</v>
      </c>
      <c r="AD37" s="6" t="n">
        <v>1000</v>
      </c>
      <c r="AE37" s="6" t="n">
        <v>1000</v>
      </c>
      <c r="AF37" s="6" t="n">
        <v>1000</v>
      </c>
      <c r="AG37" s="6" t="n">
        <v>1000</v>
      </c>
      <c r="AH37" s="6" t="n">
        <v>1000</v>
      </c>
    </row>
    <row r="38" hidden="1" outlineLevel="3" collapsed="1">
      <c r="A38" s="12" t="inlineStr">
        <is>
          <t>6800 - Customer write-offs</t>
        </is>
      </c>
      <c r="B38" s="6" t="n">
        <v>1000</v>
      </c>
      <c r="C38" s="6" t="n">
        <v>1000</v>
      </c>
      <c r="D38" s="6" t="n">
        <v>1000</v>
      </c>
      <c r="E38" s="6" t="n">
        <v>1000</v>
      </c>
      <c r="F38" s="6" t="n">
        <v>1000</v>
      </c>
      <c r="G38" s="6" t="n">
        <v>1000</v>
      </c>
      <c r="H38" s="6" t="n">
        <v>1000</v>
      </c>
      <c r="I38" s="6" t="n">
        <v>1000</v>
      </c>
      <c r="J38" s="6" t="n">
        <v>1000</v>
      </c>
      <c r="K38" s="6" t="n">
        <v>1000</v>
      </c>
      <c r="L38" s="6" t="n">
        <v>1000</v>
      </c>
      <c r="M38" s="6" t="n">
        <v>1000</v>
      </c>
      <c r="N38" s="6" t="n">
        <v>1000</v>
      </c>
      <c r="O38" s="6" t="n">
        <v>1000</v>
      </c>
      <c r="P38" s="6" t="n">
        <v>1000</v>
      </c>
      <c r="Q38" s="6" t="n">
        <v>1000</v>
      </c>
      <c r="R38" s="6" t="n">
        <v>1000</v>
      </c>
      <c r="S38" s="6" t="n">
        <v>1000</v>
      </c>
      <c r="T38" s="6" t="n">
        <v>1000</v>
      </c>
      <c r="U38" s="6" t="n">
        <v>1000</v>
      </c>
      <c r="V38" s="6" t="n">
        <v>1000</v>
      </c>
      <c r="W38" s="6" t="n">
        <v>1000</v>
      </c>
      <c r="X38" s="6" t="n">
        <v>1000</v>
      </c>
      <c r="Y38" s="6" t="n">
        <v>1000</v>
      </c>
      <c r="Z38" s="6" t="n">
        <v>1000</v>
      </c>
      <c r="AA38" s="6" t="n">
        <v>1000</v>
      </c>
      <c r="AB38" s="6" t="n">
        <v>1000</v>
      </c>
      <c r="AC38" s="6" t="n">
        <v>1000</v>
      </c>
      <c r="AD38" s="6" t="n">
        <v>1000</v>
      </c>
      <c r="AE38" s="6" t="n">
        <v>1000</v>
      </c>
      <c r="AF38" s="6" t="n">
        <v>1000</v>
      </c>
      <c r="AG38" s="6" t="n">
        <v>1000</v>
      </c>
      <c r="AH38" s="6" t="n">
        <v>1000</v>
      </c>
    </row>
    <row r="39" hidden="1" outlineLevel="1" collapsed="1">
      <c r="A39" s="10" t="inlineStr">
        <is>
          <t>Bank fees</t>
        </is>
      </c>
      <c r="B39" s="6" t="n">
        <v>200</v>
      </c>
      <c r="C39" s="6" t="n">
        <v>200</v>
      </c>
      <c r="D39" s="6" t="n">
        <v>200</v>
      </c>
      <c r="E39" s="6" t="n">
        <v>200</v>
      </c>
      <c r="F39" s="6" t="n">
        <v>200</v>
      </c>
      <c r="G39" s="6" t="n">
        <v>200</v>
      </c>
      <c r="H39" s="6" t="n">
        <v>200</v>
      </c>
      <c r="I39" s="6" t="n">
        <v>200</v>
      </c>
      <c r="J39" s="6" t="n">
        <v>200</v>
      </c>
      <c r="K39" s="6" t="n">
        <v>200</v>
      </c>
      <c r="L39" s="6" t="n">
        <v>200</v>
      </c>
      <c r="M39" s="6" t="n">
        <v>200</v>
      </c>
      <c r="N39" s="6" t="n">
        <v>200</v>
      </c>
      <c r="O39" s="6" t="n">
        <v>200</v>
      </c>
      <c r="P39" s="6" t="n">
        <v>200</v>
      </c>
      <c r="Q39" s="6" t="n">
        <v>200</v>
      </c>
      <c r="R39" s="6" t="n">
        <v>200</v>
      </c>
      <c r="S39" s="6" t="n">
        <v>200</v>
      </c>
      <c r="T39" s="6" t="n">
        <v>200</v>
      </c>
      <c r="U39" s="6" t="n">
        <v>200</v>
      </c>
      <c r="V39" s="6" t="n">
        <v>200</v>
      </c>
      <c r="W39" s="6" t="n">
        <v>200</v>
      </c>
      <c r="X39" s="6" t="n">
        <v>200</v>
      </c>
      <c r="Y39" s="6" t="n">
        <v>200</v>
      </c>
      <c r="Z39" s="6" t="n">
        <v>200</v>
      </c>
      <c r="AA39" s="6" t="n">
        <v>200</v>
      </c>
      <c r="AB39" s="6" t="n">
        <v>200</v>
      </c>
      <c r="AC39" s="6" t="n">
        <v>200</v>
      </c>
      <c r="AD39" s="6" t="n">
        <v>200</v>
      </c>
      <c r="AE39" s="6" t="n">
        <v>200</v>
      </c>
      <c r="AF39" s="6" t="n">
        <v>200</v>
      </c>
      <c r="AG39" s="6" t="n">
        <v>200</v>
      </c>
      <c r="AH39" s="6" t="n">
        <v>200</v>
      </c>
    </row>
    <row r="40" hidden="1" outlineLevel="2" collapsed="1">
      <c r="A40" s="11" t="inlineStr"/>
      <c r="B40" s="6" t="n">
        <v>200</v>
      </c>
      <c r="C40" s="6" t="n">
        <v>200</v>
      </c>
      <c r="D40" s="6" t="n">
        <v>200</v>
      </c>
      <c r="E40" s="6" t="n">
        <v>200</v>
      </c>
      <c r="F40" s="6" t="n">
        <v>200</v>
      </c>
      <c r="G40" s="6" t="n">
        <v>200</v>
      </c>
      <c r="H40" s="6" t="n">
        <v>200</v>
      </c>
      <c r="I40" s="6" t="n">
        <v>200</v>
      </c>
      <c r="J40" s="6" t="n">
        <v>200</v>
      </c>
      <c r="K40" s="6" t="n">
        <v>200</v>
      </c>
      <c r="L40" s="6" t="n">
        <v>200</v>
      </c>
      <c r="M40" s="6" t="n">
        <v>200</v>
      </c>
      <c r="N40" s="6" t="n">
        <v>200</v>
      </c>
      <c r="O40" s="6" t="n">
        <v>200</v>
      </c>
      <c r="P40" s="6" t="n">
        <v>200</v>
      </c>
      <c r="Q40" s="6" t="n">
        <v>200</v>
      </c>
      <c r="R40" s="6" t="n">
        <v>200</v>
      </c>
      <c r="S40" s="6" t="n">
        <v>200</v>
      </c>
      <c r="T40" s="6" t="n">
        <v>200</v>
      </c>
      <c r="U40" s="6" t="n">
        <v>200</v>
      </c>
      <c r="V40" s="6" t="n">
        <v>200</v>
      </c>
      <c r="W40" s="6" t="n">
        <v>200</v>
      </c>
      <c r="X40" s="6" t="n">
        <v>200</v>
      </c>
      <c r="Y40" s="6" t="n">
        <v>200</v>
      </c>
      <c r="Z40" s="6" t="n">
        <v>200</v>
      </c>
      <c r="AA40" s="6" t="n">
        <v>200</v>
      </c>
      <c r="AB40" s="6" t="n">
        <v>200</v>
      </c>
      <c r="AC40" s="6" t="n">
        <v>200</v>
      </c>
      <c r="AD40" s="6" t="n">
        <v>200</v>
      </c>
      <c r="AE40" s="6" t="n">
        <v>200</v>
      </c>
      <c r="AF40" s="6" t="n">
        <v>200</v>
      </c>
      <c r="AG40" s="6" t="n">
        <v>200</v>
      </c>
      <c r="AH40" s="6" t="n">
        <v>200</v>
      </c>
    </row>
    <row r="41" hidden="1" outlineLevel="3" collapsed="1">
      <c r="A41" s="12" t="inlineStr">
        <is>
          <t>6702 - Bank charges</t>
        </is>
      </c>
      <c r="B41" s="6" t="n">
        <v>200</v>
      </c>
      <c r="C41" s="6" t="n">
        <v>200</v>
      </c>
      <c r="D41" s="6" t="n">
        <v>200</v>
      </c>
      <c r="E41" s="6" t="n">
        <v>200</v>
      </c>
      <c r="F41" s="6" t="n">
        <v>200</v>
      </c>
      <c r="G41" s="6" t="n">
        <v>200</v>
      </c>
      <c r="H41" s="6" t="n">
        <v>200</v>
      </c>
      <c r="I41" s="6" t="n">
        <v>200</v>
      </c>
      <c r="J41" s="6" t="n">
        <v>200</v>
      </c>
      <c r="K41" s="6" t="n">
        <v>200</v>
      </c>
      <c r="L41" s="6" t="n">
        <v>200</v>
      </c>
      <c r="M41" s="6" t="n">
        <v>200</v>
      </c>
      <c r="N41" s="6" t="n">
        <v>200</v>
      </c>
      <c r="O41" s="6" t="n">
        <v>200</v>
      </c>
      <c r="P41" s="6" t="n">
        <v>200</v>
      </c>
      <c r="Q41" s="6" t="n">
        <v>200</v>
      </c>
      <c r="R41" s="6" t="n">
        <v>200</v>
      </c>
      <c r="S41" s="6" t="n">
        <v>200</v>
      </c>
      <c r="T41" s="6" t="n">
        <v>200</v>
      </c>
      <c r="U41" s="6" t="n">
        <v>200</v>
      </c>
      <c r="V41" s="6" t="n">
        <v>200</v>
      </c>
      <c r="W41" s="6" t="n">
        <v>200</v>
      </c>
      <c r="X41" s="6" t="n">
        <v>200</v>
      </c>
      <c r="Y41" s="6" t="n">
        <v>200</v>
      </c>
      <c r="Z41" s="6" t="n">
        <v>200</v>
      </c>
      <c r="AA41" s="6" t="n">
        <v>200</v>
      </c>
      <c r="AB41" s="6" t="n">
        <v>200</v>
      </c>
      <c r="AC41" s="6" t="n">
        <v>200</v>
      </c>
      <c r="AD41" s="6" t="n">
        <v>200</v>
      </c>
      <c r="AE41" s="6" t="n">
        <v>200</v>
      </c>
      <c r="AF41" s="6" t="n">
        <v>200</v>
      </c>
      <c r="AG41" s="6" t="n">
        <v>200</v>
      </c>
      <c r="AH41" s="6" t="n">
        <v>200</v>
      </c>
    </row>
    <row r="42" hidden="1" outlineLevel="1" collapsed="1">
      <c r="A42" s="10" t="inlineStr">
        <is>
          <t>Depreciation</t>
        </is>
      </c>
      <c r="B42" s="6" t="n">
        <v>1000</v>
      </c>
      <c r="C42" s="6" t="n">
        <v>1000</v>
      </c>
      <c r="D42" s="6" t="n">
        <v>1000</v>
      </c>
      <c r="E42" s="6" t="n">
        <v>1000</v>
      </c>
      <c r="F42" s="6" t="n">
        <v>1000</v>
      </c>
      <c r="G42" s="6" t="n">
        <v>1000</v>
      </c>
      <c r="H42" s="6" t="n">
        <v>1000</v>
      </c>
      <c r="I42" s="6" t="n">
        <v>1000</v>
      </c>
      <c r="J42" s="6" t="n">
        <v>1000</v>
      </c>
      <c r="K42" s="6" t="n">
        <v>1000</v>
      </c>
      <c r="L42" s="6" t="n">
        <v>1000</v>
      </c>
      <c r="M42" s="6" t="n">
        <v>1000</v>
      </c>
      <c r="N42" s="6" t="n">
        <v>1000</v>
      </c>
      <c r="O42" s="6" t="n">
        <v>1000</v>
      </c>
      <c r="P42" s="6" t="n">
        <v>1000</v>
      </c>
      <c r="Q42" s="6" t="n">
        <v>1000</v>
      </c>
      <c r="R42" s="6" t="n">
        <v>1000</v>
      </c>
      <c r="S42" s="6" t="n">
        <v>1000</v>
      </c>
      <c r="T42" s="6" t="n">
        <v>1000</v>
      </c>
      <c r="U42" s="6" t="n">
        <v>1000</v>
      </c>
      <c r="V42" s="6" t="n">
        <v>1000</v>
      </c>
      <c r="W42" s="6" t="n">
        <v>1000</v>
      </c>
      <c r="X42" s="6" t="n">
        <v>1000</v>
      </c>
      <c r="Y42" s="6" t="n">
        <v>1000</v>
      </c>
      <c r="Z42" s="6" t="n">
        <v>1000</v>
      </c>
      <c r="AA42" s="6" t="n">
        <v>1000</v>
      </c>
      <c r="AB42" s="6" t="n">
        <v>1000</v>
      </c>
      <c r="AC42" s="6" t="n">
        <v>1000</v>
      </c>
      <c r="AD42" s="6" t="n">
        <v>1000</v>
      </c>
      <c r="AE42" s="6" t="n">
        <v>1000</v>
      </c>
      <c r="AF42" s="6" t="n">
        <v>1000</v>
      </c>
      <c r="AG42" s="6" t="n">
        <v>1000</v>
      </c>
      <c r="AH42" s="6" t="n">
        <v>1000</v>
      </c>
    </row>
    <row r="43" hidden="1" outlineLevel="2" collapsed="1">
      <c r="A43" s="11" t="inlineStr"/>
      <c r="B43" s="6" t="n">
        <v>1000</v>
      </c>
      <c r="C43" s="6" t="n">
        <v>1000</v>
      </c>
      <c r="D43" s="6" t="n">
        <v>1000</v>
      </c>
      <c r="E43" s="6" t="n">
        <v>1000</v>
      </c>
      <c r="F43" s="6" t="n">
        <v>1000</v>
      </c>
      <c r="G43" s="6" t="n">
        <v>1000</v>
      </c>
      <c r="H43" s="6" t="n">
        <v>1000</v>
      </c>
      <c r="I43" s="6" t="n">
        <v>1000</v>
      </c>
      <c r="J43" s="6" t="n">
        <v>1000</v>
      </c>
      <c r="K43" s="6" t="n">
        <v>1000</v>
      </c>
      <c r="L43" s="6" t="n">
        <v>1000</v>
      </c>
      <c r="M43" s="6" t="n">
        <v>1000</v>
      </c>
      <c r="N43" s="6" t="n">
        <v>1000</v>
      </c>
      <c r="O43" s="6" t="n">
        <v>1000</v>
      </c>
      <c r="P43" s="6" t="n">
        <v>1000</v>
      </c>
      <c r="Q43" s="6" t="n">
        <v>1000</v>
      </c>
      <c r="R43" s="6" t="n">
        <v>1000</v>
      </c>
      <c r="S43" s="6" t="n">
        <v>1000</v>
      </c>
      <c r="T43" s="6" t="n">
        <v>1000</v>
      </c>
      <c r="U43" s="6" t="n">
        <v>1000</v>
      </c>
      <c r="V43" s="6" t="n">
        <v>1000</v>
      </c>
      <c r="W43" s="6" t="n">
        <v>1000</v>
      </c>
      <c r="X43" s="6" t="n">
        <v>1000</v>
      </c>
      <c r="Y43" s="6" t="n">
        <v>1000</v>
      </c>
      <c r="Z43" s="6" t="n">
        <v>1000</v>
      </c>
      <c r="AA43" s="6" t="n">
        <v>1000</v>
      </c>
      <c r="AB43" s="6" t="n">
        <v>1000</v>
      </c>
      <c r="AC43" s="6" t="n">
        <v>1000</v>
      </c>
      <c r="AD43" s="6" t="n">
        <v>1000</v>
      </c>
      <c r="AE43" s="6" t="n">
        <v>1000</v>
      </c>
      <c r="AF43" s="6" t="n">
        <v>1000</v>
      </c>
      <c r="AG43" s="6" t="n">
        <v>1000</v>
      </c>
      <c r="AH43" s="6" t="n">
        <v>1000</v>
      </c>
    </row>
    <row r="44" hidden="1" outlineLevel="3" collapsed="1">
      <c r="A44" s="12" t="inlineStr">
        <is>
          <t>6100 - Depreciation - fixed assets</t>
        </is>
      </c>
      <c r="B44" s="6" t="n">
        <v>1000</v>
      </c>
      <c r="C44" s="6" t="n">
        <v>1000</v>
      </c>
      <c r="D44" s="6" t="n">
        <v>1000</v>
      </c>
      <c r="E44" s="6" t="n">
        <v>1000</v>
      </c>
      <c r="F44" s="6" t="n">
        <v>1000</v>
      </c>
      <c r="G44" s="6" t="n">
        <v>1000</v>
      </c>
      <c r="H44" s="6" t="n">
        <v>1000</v>
      </c>
      <c r="I44" s="6" t="n">
        <v>1000</v>
      </c>
      <c r="J44" s="6" t="n">
        <v>1000</v>
      </c>
      <c r="K44" s="6" t="n">
        <v>1000</v>
      </c>
      <c r="L44" s="6" t="n">
        <v>1000</v>
      </c>
      <c r="M44" s="6" t="n">
        <v>1000</v>
      </c>
      <c r="N44" s="6" t="n">
        <v>1000</v>
      </c>
      <c r="O44" s="6" t="n">
        <v>1000</v>
      </c>
      <c r="P44" s="6" t="n">
        <v>1000</v>
      </c>
      <c r="Q44" s="6" t="n">
        <v>1000</v>
      </c>
      <c r="R44" s="6" t="n">
        <v>1000</v>
      </c>
      <c r="S44" s="6" t="n">
        <v>1000</v>
      </c>
      <c r="T44" s="6" t="n">
        <v>1000</v>
      </c>
      <c r="U44" s="6" t="n">
        <v>1000</v>
      </c>
      <c r="V44" s="6" t="n">
        <v>1000</v>
      </c>
      <c r="W44" s="6" t="n">
        <v>1000</v>
      </c>
      <c r="X44" s="6" t="n">
        <v>1000</v>
      </c>
      <c r="Y44" s="6" t="n">
        <v>1000</v>
      </c>
      <c r="Z44" s="6" t="n">
        <v>1000</v>
      </c>
      <c r="AA44" s="6" t="n">
        <v>1000</v>
      </c>
      <c r="AB44" s="6" t="n">
        <v>1000</v>
      </c>
      <c r="AC44" s="6" t="n">
        <v>1000</v>
      </c>
      <c r="AD44" s="6" t="n">
        <v>1000</v>
      </c>
      <c r="AE44" s="6" t="n">
        <v>1000</v>
      </c>
      <c r="AF44" s="6" t="n">
        <v>1000</v>
      </c>
      <c r="AG44" s="6" t="n">
        <v>1000</v>
      </c>
      <c r="AH44" s="6" t="n">
        <v>1000</v>
      </c>
    </row>
    <row r="45" hidden="1" outlineLevel="1" collapsed="1">
      <c r="A45" s="10" t="inlineStr">
        <is>
          <t>Freight</t>
        </is>
      </c>
      <c r="B45" s="6" t="n">
        <v>5000</v>
      </c>
      <c r="C45" s="6" t="n">
        <v>5000</v>
      </c>
      <c r="D45" s="6" t="n">
        <v>5000</v>
      </c>
      <c r="E45" s="6" t="n">
        <v>5000</v>
      </c>
      <c r="F45" s="6" t="n">
        <v>5000</v>
      </c>
      <c r="G45" s="6" t="n">
        <v>5000</v>
      </c>
      <c r="H45" s="6" t="n">
        <v>5000</v>
      </c>
      <c r="I45" s="6" t="n">
        <v>5000</v>
      </c>
      <c r="J45" s="6" t="n">
        <v>5000</v>
      </c>
      <c r="K45" s="6" t="n">
        <v>5000</v>
      </c>
      <c r="L45" s="6" t="n">
        <v>5000</v>
      </c>
      <c r="M45" s="6" t="n">
        <v>5000</v>
      </c>
      <c r="N45" s="6" t="n">
        <v>5000</v>
      </c>
      <c r="O45" s="6" t="n">
        <v>5000</v>
      </c>
      <c r="P45" s="6" t="n">
        <v>5000</v>
      </c>
      <c r="Q45" s="6" t="n">
        <v>5000</v>
      </c>
      <c r="R45" s="6" t="n">
        <v>5000</v>
      </c>
      <c r="S45" s="6" t="n">
        <v>5000</v>
      </c>
      <c r="T45" s="6" t="n">
        <v>5000</v>
      </c>
      <c r="U45" s="6" t="n">
        <v>5000</v>
      </c>
      <c r="V45" s="6" t="n">
        <v>5000</v>
      </c>
      <c r="W45" s="6" t="n">
        <v>5000</v>
      </c>
      <c r="X45" s="6" t="n">
        <v>5000</v>
      </c>
      <c r="Y45" s="6" t="n">
        <v>5000</v>
      </c>
      <c r="Z45" s="6" t="n">
        <v>5000</v>
      </c>
      <c r="AA45" s="6" t="n">
        <v>5000</v>
      </c>
      <c r="AB45" s="6" t="n">
        <v>5000</v>
      </c>
      <c r="AC45" s="6" t="n">
        <v>5000</v>
      </c>
      <c r="AD45" s="6" t="n">
        <v>5000</v>
      </c>
      <c r="AE45" s="6" t="n">
        <v>5000</v>
      </c>
      <c r="AF45" s="6" t="n">
        <v>5000</v>
      </c>
      <c r="AG45" s="6" t="n">
        <v>5000</v>
      </c>
      <c r="AH45" s="6" t="n">
        <v>5000</v>
      </c>
    </row>
    <row r="46" hidden="1" outlineLevel="2" collapsed="1">
      <c r="A46" s="11" t="inlineStr"/>
      <c r="B46" s="6" t="n">
        <v>5000</v>
      </c>
      <c r="C46" s="6" t="n">
        <v>5000</v>
      </c>
      <c r="D46" s="6" t="n">
        <v>5000</v>
      </c>
      <c r="E46" s="6" t="n">
        <v>5000</v>
      </c>
      <c r="F46" s="6" t="n">
        <v>5000</v>
      </c>
      <c r="G46" s="6" t="n">
        <v>5000</v>
      </c>
      <c r="H46" s="6" t="n">
        <v>5000</v>
      </c>
      <c r="I46" s="6" t="n">
        <v>5000</v>
      </c>
      <c r="J46" s="6" t="n">
        <v>5000</v>
      </c>
      <c r="K46" s="6" t="n">
        <v>5000</v>
      </c>
      <c r="L46" s="6" t="n">
        <v>5000</v>
      </c>
      <c r="M46" s="6" t="n">
        <v>5000</v>
      </c>
      <c r="N46" s="6" t="n">
        <v>5000</v>
      </c>
      <c r="O46" s="6" t="n">
        <v>5000</v>
      </c>
      <c r="P46" s="6" t="n">
        <v>5000</v>
      </c>
      <c r="Q46" s="6" t="n">
        <v>5000</v>
      </c>
      <c r="R46" s="6" t="n">
        <v>5000</v>
      </c>
      <c r="S46" s="6" t="n">
        <v>5000</v>
      </c>
      <c r="T46" s="6" t="n">
        <v>5000</v>
      </c>
      <c r="U46" s="6" t="n">
        <v>5000</v>
      </c>
      <c r="V46" s="6" t="n">
        <v>5000</v>
      </c>
      <c r="W46" s="6" t="n">
        <v>5000</v>
      </c>
      <c r="X46" s="6" t="n">
        <v>5000</v>
      </c>
      <c r="Y46" s="6" t="n">
        <v>5000</v>
      </c>
      <c r="Z46" s="6" t="n">
        <v>5000</v>
      </c>
      <c r="AA46" s="6" t="n">
        <v>5000</v>
      </c>
      <c r="AB46" s="6" t="n">
        <v>5000</v>
      </c>
      <c r="AC46" s="6" t="n">
        <v>5000</v>
      </c>
      <c r="AD46" s="6" t="n">
        <v>5000</v>
      </c>
      <c r="AE46" s="6" t="n">
        <v>5000</v>
      </c>
      <c r="AF46" s="6" t="n">
        <v>5000</v>
      </c>
      <c r="AG46" s="6" t="n">
        <v>5000</v>
      </c>
      <c r="AH46" s="6" t="n">
        <v>5000</v>
      </c>
    </row>
    <row r="47" hidden="1" outlineLevel="3" collapsed="1">
      <c r="A47" s="12" t="inlineStr">
        <is>
          <t>6310 - Freight and delivery costs</t>
        </is>
      </c>
      <c r="B47" s="6" t="n">
        <v>5000</v>
      </c>
      <c r="C47" s="6" t="n">
        <v>5000</v>
      </c>
      <c r="D47" s="6" t="n">
        <v>5000</v>
      </c>
      <c r="E47" s="6" t="n">
        <v>5000</v>
      </c>
      <c r="F47" s="6" t="n">
        <v>5000</v>
      </c>
      <c r="G47" s="6" t="n">
        <v>5000</v>
      </c>
      <c r="H47" s="6" t="n">
        <v>5000</v>
      </c>
      <c r="I47" s="6" t="n">
        <v>5000</v>
      </c>
      <c r="J47" s="6" t="n">
        <v>5000</v>
      </c>
      <c r="K47" s="6" t="n">
        <v>5000</v>
      </c>
      <c r="L47" s="6" t="n">
        <v>5000</v>
      </c>
      <c r="M47" s="6" t="n">
        <v>5000</v>
      </c>
      <c r="N47" s="6" t="n">
        <v>5000</v>
      </c>
      <c r="O47" s="6" t="n">
        <v>5000</v>
      </c>
      <c r="P47" s="6" t="n">
        <v>5000</v>
      </c>
      <c r="Q47" s="6" t="n">
        <v>5000</v>
      </c>
      <c r="R47" s="6" t="n">
        <v>5000</v>
      </c>
      <c r="S47" s="6" t="n">
        <v>5000</v>
      </c>
      <c r="T47" s="6" t="n">
        <v>5000</v>
      </c>
      <c r="U47" s="6" t="n">
        <v>5000</v>
      </c>
      <c r="V47" s="6" t="n">
        <v>5000</v>
      </c>
      <c r="W47" s="6" t="n">
        <v>5000</v>
      </c>
      <c r="X47" s="6" t="n">
        <v>5000</v>
      </c>
      <c r="Y47" s="6" t="n">
        <v>5000</v>
      </c>
      <c r="Z47" s="6" t="n">
        <v>5000</v>
      </c>
      <c r="AA47" s="6" t="n">
        <v>5000</v>
      </c>
      <c r="AB47" s="6" t="n">
        <v>5000</v>
      </c>
      <c r="AC47" s="6" t="n">
        <v>5000</v>
      </c>
      <c r="AD47" s="6" t="n">
        <v>5000</v>
      </c>
      <c r="AE47" s="6" t="n">
        <v>5000</v>
      </c>
      <c r="AF47" s="6" t="n">
        <v>5000</v>
      </c>
      <c r="AG47" s="6" t="n">
        <v>5000</v>
      </c>
      <c r="AH47" s="6" t="n">
        <v>5000</v>
      </c>
    </row>
    <row r="48" hidden="1" outlineLevel="1" collapsed="1">
      <c r="A48" s="10" t="inlineStr">
        <is>
          <t>Insurance</t>
        </is>
      </c>
      <c r="B48" s="6" t="n">
        <v>900</v>
      </c>
      <c r="C48" s="6" t="n">
        <v>900</v>
      </c>
      <c r="D48" s="6" t="n">
        <v>900</v>
      </c>
      <c r="E48" s="6" t="n">
        <v>900</v>
      </c>
      <c r="F48" s="6" t="n">
        <v>900</v>
      </c>
      <c r="G48" s="6" t="n">
        <v>900</v>
      </c>
      <c r="H48" s="6" t="n">
        <v>900</v>
      </c>
      <c r="I48" s="6" t="n">
        <v>900</v>
      </c>
      <c r="J48" s="6" t="n">
        <v>900</v>
      </c>
      <c r="K48" s="6" t="n">
        <v>900</v>
      </c>
      <c r="L48" s="6" t="n">
        <v>900</v>
      </c>
      <c r="M48" s="6" t="n">
        <v>900</v>
      </c>
      <c r="N48" s="6" t="n">
        <v>900</v>
      </c>
      <c r="O48" s="6" t="n">
        <v>900</v>
      </c>
      <c r="P48" s="6" t="n">
        <v>900</v>
      </c>
      <c r="Q48" s="6" t="n">
        <v>900</v>
      </c>
      <c r="R48" s="6" t="n">
        <v>900</v>
      </c>
      <c r="S48" s="6" t="n">
        <v>900</v>
      </c>
      <c r="T48" s="6" t="n">
        <v>900</v>
      </c>
      <c r="U48" s="6" t="n">
        <v>900</v>
      </c>
      <c r="V48" s="6" t="n">
        <v>900</v>
      </c>
      <c r="W48" s="6" t="n">
        <v>900</v>
      </c>
      <c r="X48" s="6" t="n">
        <v>900</v>
      </c>
      <c r="Y48" s="6" t="n">
        <v>900</v>
      </c>
      <c r="Z48" s="6" t="n">
        <v>900</v>
      </c>
      <c r="AA48" s="6" t="n">
        <v>900</v>
      </c>
      <c r="AB48" s="6" t="n">
        <v>900</v>
      </c>
      <c r="AC48" s="6" t="n">
        <v>900</v>
      </c>
      <c r="AD48" s="6" t="n">
        <v>900</v>
      </c>
      <c r="AE48" s="6" t="n">
        <v>900</v>
      </c>
      <c r="AF48" s="6" t="n">
        <v>900</v>
      </c>
      <c r="AG48" s="6" t="n">
        <v>900</v>
      </c>
      <c r="AH48" s="6" t="n">
        <v>900</v>
      </c>
    </row>
    <row r="49" hidden="1" outlineLevel="2" collapsed="1">
      <c r="A49" s="11" t="inlineStr"/>
      <c r="B49" s="6" t="n">
        <v>900</v>
      </c>
      <c r="C49" s="6" t="n">
        <v>900</v>
      </c>
      <c r="D49" s="6" t="n">
        <v>900</v>
      </c>
      <c r="E49" s="6" t="n">
        <v>900</v>
      </c>
      <c r="F49" s="6" t="n">
        <v>900</v>
      </c>
      <c r="G49" s="6" t="n">
        <v>900</v>
      </c>
      <c r="H49" s="6" t="n">
        <v>900</v>
      </c>
      <c r="I49" s="6" t="n">
        <v>900</v>
      </c>
      <c r="J49" s="6" t="n">
        <v>900</v>
      </c>
      <c r="K49" s="6" t="n">
        <v>900</v>
      </c>
      <c r="L49" s="6" t="n">
        <v>900</v>
      </c>
      <c r="M49" s="6" t="n">
        <v>900</v>
      </c>
      <c r="N49" s="6" t="n">
        <v>900</v>
      </c>
      <c r="O49" s="6" t="n">
        <v>900</v>
      </c>
      <c r="P49" s="6" t="n">
        <v>900</v>
      </c>
      <c r="Q49" s="6" t="n">
        <v>900</v>
      </c>
      <c r="R49" s="6" t="n">
        <v>900</v>
      </c>
      <c r="S49" s="6" t="n">
        <v>900</v>
      </c>
      <c r="T49" s="6" t="n">
        <v>900</v>
      </c>
      <c r="U49" s="6" t="n">
        <v>900</v>
      </c>
      <c r="V49" s="6" t="n">
        <v>900</v>
      </c>
      <c r="W49" s="6" t="n">
        <v>900</v>
      </c>
      <c r="X49" s="6" t="n">
        <v>900</v>
      </c>
      <c r="Y49" s="6" t="n">
        <v>900</v>
      </c>
      <c r="Z49" s="6" t="n">
        <v>900</v>
      </c>
      <c r="AA49" s="6" t="n">
        <v>900</v>
      </c>
      <c r="AB49" s="6" t="n">
        <v>900</v>
      </c>
      <c r="AC49" s="6" t="n">
        <v>900</v>
      </c>
      <c r="AD49" s="6" t="n">
        <v>900</v>
      </c>
      <c r="AE49" s="6" t="n">
        <v>900</v>
      </c>
      <c r="AF49" s="6" t="n">
        <v>900</v>
      </c>
      <c r="AG49" s="6" t="n">
        <v>900</v>
      </c>
      <c r="AH49" s="6" t="n">
        <v>900</v>
      </c>
    </row>
    <row r="50" hidden="1" outlineLevel="3" collapsed="1">
      <c r="A50" s="12" t="inlineStr">
        <is>
          <t>6200 - Insurance - stores</t>
        </is>
      </c>
      <c r="B50" s="6" t="n">
        <v>400</v>
      </c>
      <c r="C50" s="6" t="n">
        <v>400</v>
      </c>
      <c r="D50" s="6" t="n">
        <v>400</v>
      </c>
      <c r="E50" s="6" t="n">
        <v>400</v>
      </c>
      <c r="F50" s="6" t="n">
        <v>400</v>
      </c>
      <c r="G50" s="6" t="n">
        <v>400</v>
      </c>
      <c r="H50" s="6" t="n">
        <v>400</v>
      </c>
      <c r="I50" s="6" t="n">
        <v>400</v>
      </c>
      <c r="J50" s="6" t="n">
        <v>400</v>
      </c>
      <c r="K50" s="6" t="n">
        <v>400</v>
      </c>
      <c r="L50" s="6" t="n">
        <v>400</v>
      </c>
      <c r="M50" s="6" t="n">
        <v>400</v>
      </c>
      <c r="N50" s="6" t="n">
        <v>400</v>
      </c>
      <c r="O50" s="6" t="n">
        <v>400</v>
      </c>
      <c r="P50" s="6" t="n">
        <v>400</v>
      </c>
      <c r="Q50" s="6" t="n">
        <v>400</v>
      </c>
      <c r="R50" s="6" t="n">
        <v>400</v>
      </c>
      <c r="S50" s="6" t="n">
        <v>400</v>
      </c>
      <c r="T50" s="6" t="n">
        <v>400</v>
      </c>
      <c r="U50" s="6" t="n">
        <v>400</v>
      </c>
      <c r="V50" s="6" t="n">
        <v>400</v>
      </c>
      <c r="W50" s="6" t="n">
        <v>400</v>
      </c>
      <c r="X50" s="6" t="n">
        <v>400</v>
      </c>
      <c r="Y50" s="6" t="n">
        <v>400</v>
      </c>
      <c r="Z50" s="6" t="n">
        <v>400</v>
      </c>
      <c r="AA50" s="6" t="n">
        <v>400</v>
      </c>
      <c r="AB50" s="6" t="n">
        <v>400</v>
      </c>
      <c r="AC50" s="6" t="n">
        <v>400</v>
      </c>
      <c r="AD50" s="6" t="n">
        <v>400</v>
      </c>
      <c r="AE50" s="6" t="n">
        <v>400</v>
      </c>
      <c r="AF50" s="6" t="n">
        <v>400</v>
      </c>
      <c r="AG50" s="6" t="n">
        <v>400</v>
      </c>
      <c r="AH50" s="6" t="n">
        <v>400</v>
      </c>
    </row>
    <row r="51" hidden="1" outlineLevel="3" collapsed="1">
      <c r="A51" s="12" t="inlineStr">
        <is>
          <t>6201 - Insurance - life insurance for Matthew Saturno</t>
        </is>
      </c>
      <c r="B51" s="6" t="n">
        <v>500</v>
      </c>
      <c r="C51" s="6" t="n">
        <v>500</v>
      </c>
      <c r="D51" s="6" t="n">
        <v>500</v>
      </c>
      <c r="E51" s="6" t="n">
        <v>500</v>
      </c>
      <c r="F51" s="6" t="n">
        <v>500</v>
      </c>
      <c r="G51" s="6" t="n">
        <v>500</v>
      </c>
      <c r="H51" s="6" t="n">
        <v>500</v>
      </c>
      <c r="I51" s="6" t="n">
        <v>500</v>
      </c>
      <c r="J51" s="6" t="n">
        <v>500</v>
      </c>
      <c r="K51" s="6" t="n">
        <v>500</v>
      </c>
      <c r="L51" s="6" t="n">
        <v>500</v>
      </c>
      <c r="M51" s="6" t="n">
        <v>500</v>
      </c>
      <c r="N51" s="6" t="n">
        <v>500</v>
      </c>
      <c r="O51" s="6" t="n">
        <v>500</v>
      </c>
      <c r="P51" s="6" t="n">
        <v>500</v>
      </c>
      <c r="Q51" s="6" t="n">
        <v>500</v>
      </c>
      <c r="R51" s="6" t="n">
        <v>500</v>
      </c>
      <c r="S51" s="6" t="n">
        <v>500</v>
      </c>
      <c r="T51" s="6" t="n">
        <v>500</v>
      </c>
      <c r="U51" s="6" t="n">
        <v>500</v>
      </c>
      <c r="V51" s="6" t="n">
        <v>500</v>
      </c>
      <c r="W51" s="6" t="n">
        <v>500</v>
      </c>
      <c r="X51" s="6" t="n">
        <v>500</v>
      </c>
      <c r="Y51" s="6" t="n">
        <v>500</v>
      </c>
      <c r="Z51" s="6" t="n">
        <v>500</v>
      </c>
      <c r="AA51" s="6" t="n">
        <v>500</v>
      </c>
      <c r="AB51" s="6" t="n">
        <v>500</v>
      </c>
      <c r="AC51" s="6" t="n">
        <v>500</v>
      </c>
      <c r="AD51" s="6" t="n">
        <v>500</v>
      </c>
      <c r="AE51" s="6" t="n">
        <v>500</v>
      </c>
      <c r="AF51" s="6" t="n">
        <v>500</v>
      </c>
      <c r="AG51" s="6" t="n">
        <v>500</v>
      </c>
      <c r="AH51" s="6" t="n">
        <v>500</v>
      </c>
    </row>
    <row r="52" hidden="1" outlineLevel="1" collapsed="1">
      <c r="A52" s="10" t="inlineStr">
        <is>
          <t>Interest expense</t>
        </is>
      </c>
      <c r="B52" s="6" t="n">
        <v>2081.851851851852</v>
      </c>
      <c r="C52" s="6" t="n">
        <v>2070.554783950618</v>
      </c>
      <c r="D52" s="6" t="n">
        <v>2059.163573816873</v>
      </c>
      <c r="E52" s="6" t="n">
        <v>2047.677436932014</v>
      </c>
      <c r="F52" s="6" t="n">
        <v>2036.095582239781</v>
      </c>
      <c r="G52" s="6" t="n">
        <v>2024.417212091778</v>
      </c>
      <c r="H52" s="6" t="n">
        <v>2012.641522192543</v>
      </c>
      <c r="I52" s="6" t="n">
        <v>2000.767701544148</v>
      </c>
      <c r="J52" s="6" t="n">
        <v>1988.794932390349</v>
      </c>
      <c r="K52" s="6" t="n">
        <v>1976.722390160269</v>
      </c>
      <c r="L52" s="6" t="n">
        <v>1964.549243411604</v>
      </c>
      <c r="M52" s="6" t="n">
        <v>1952.274653773368</v>
      </c>
      <c r="N52" s="6" t="n">
        <v>1939.897775888146</v>
      </c>
      <c r="O52" s="6" t="n">
        <v>1927.41775735388</v>
      </c>
      <c r="P52" s="6" t="n">
        <v>1914.833738665163</v>
      </c>
      <c r="Q52" s="6" t="n">
        <v>1902.144853154039</v>
      </c>
      <c r="R52" s="6" t="n">
        <v>1889.350226930323</v>
      </c>
      <c r="S52" s="6" t="n">
        <v>1876.448978821409</v>
      </c>
      <c r="T52" s="6" t="n">
        <v>1863.440220311587</v>
      </c>
      <c r="U52" s="6" t="n">
        <v>1850.32305548085</v>
      </c>
      <c r="V52" s="6" t="n">
        <v>1837.096580943191</v>
      </c>
      <c r="W52" s="6" t="n">
        <v>1823.759885784384</v>
      </c>
      <c r="X52" s="6" t="n">
        <v>1810.312051499254</v>
      </c>
      <c r="Y52" s="6" t="n">
        <v>1796.752151928414</v>
      </c>
      <c r="Z52" s="6" t="n">
        <v>1783.079253194484</v>
      </c>
      <c r="AA52" s="6" t="n">
        <v>1769.292413637772</v>
      </c>
      <c r="AB52" s="6" t="n">
        <v>1755.390683751419</v>
      </c>
      <c r="AC52" s="6" t="n">
        <v>1741.373106116014</v>
      </c>
      <c r="AD52" s="6" t="n">
        <v>1727.238715333648</v>
      </c>
      <c r="AE52" s="6" t="n">
        <v>1712.986537961429</v>
      </c>
      <c r="AF52" s="6" t="n">
        <v>1698.61559244444</v>
      </c>
      <c r="AG52" s="6" t="n">
        <v>1684.124889048144</v>
      </c>
      <c r="AH52" s="6" t="n">
        <v>1669.513429790212</v>
      </c>
    </row>
    <row r="53" hidden="1" outlineLevel="2" collapsed="1">
      <c r="A53" s="11" t="inlineStr"/>
      <c r="B53" s="6" t="n">
        <v>2081.851851851852</v>
      </c>
      <c r="C53" s="6" t="n">
        <v>2070.554783950618</v>
      </c>
      <c r="D53" s="6" t="n">
        <v>2059.163573816873</v>
      </c>
      <c r="E53" s="6" t="n">
        <v>2047.677436932014</v>
      </c>
      <c r="F53" s="6" t="n">
        <v>2036.095582239781</v>
      </c>
      <c r="G53" s="6" t="n">
        <v>2024.417212091778</v>
      </c>
      <c r="H53" s="6" t="n">
        <v>2012.641522192543</v>
      </c>
      <c r="I53" s="6" t="n">
        <v>2000.767701544148</v>
      </c>
      <c r="J53" s="6" t="n">
        <v>1988.794932390349</v>
      </c>
      <c r="K53" s="6" t="n">
        <v>1976.722390160269</v>
      </c>
      <c r="L53" s="6" t="n">
        <v>1964.549243411604</v>
      </c>
      <c r="M53" s="6" t="n">
        <v>1952.274653773368</v>
      </c>
      <c r="N53" s="6" t="n">
        <v>1939.897775888146</v>
      </c>
      <c r="O53" s="6" t="n">
        <v>1927.41775735388</v>
      </c>
      <c r="P53" s="6" t="n">
        <v>1914.833738665163</v>
      </c>
      <c r="Q53" s="6" t="n">
        <v>1902.144853154039</v>
      </c>
      <c r="R53" s="6" t="n">
        <v>1889.350226930323</v>
      </c>
      <c r="S53" s="6" t="n">
        <v>1876.448978821409</v>
      </c>
      <c r="T53" s="6" t="n">
        <v>1863.440220311587</v>
      </c>
      <c r="U53" s="6" t="n">
        <v>1850.32305548085</v>
      </c>
      <c r="V53" s="6" t="n">
        <v>1837.096580943191</v>
      </c>
      <c r="W53" s="6" t="n">
        <v>1823.759885784384</v>
      </c>
      <c r="X53" s="6" t="n">
        <v>1810.312051499254</v>
      </c>
      <c r="Y53" s="6" t="n">
        <v>1796.752151928414</v>
      </c>
      <c r="Z53" s="6" t="n">
        <v>1783.079253194484</v>
      </c>
      <c r="AA53" s="6" t="n">
        <v>1769.292413637772</v>
      </c>
      <c r="AB53" s="6" t="n">
        <v>1755.390683751419</v>
      </c>
      <c r="AC53" s="6" t="n">
        <v>1741.373106116014</v>
      </c>
      <c r="AD53" s="6" t="n">
        <v>1727.238715333648</v>
      </c>
      <c r="AE53" s="6" t="n">
        <v>1712.986537961429</v>
      </c>
      <c r="AF53" s="6" t="n">
        <v>1698.61559244444</v>
      </c>
      <c r="AG53" s="6" t="n">
        <v>1684.124889048144</v>
      </c>
      <c r="AH53" s="6" t="n">
        <v>1669.513429790212</v>
      </c>
    </row>
    <row r="54" hidden="1" outlineLevel="3" collapsed="1">
      <c r="A54" s="12" t="inlineStr">
        <is>
          <t>6700 - Interest on short term loans</t>
        </is>
      </c>
      <c r="B54" s="6" t="n">
        <v>437.5</v>
      </c>
      <c r="C54" s="6" t="n">
        <v>437.5</v>
      </c>
      <c r="D54" s="6" t="n">
        <v>437.5</v>
      </c>
      <c r="E54" s="6" t="n">
        <v>437.5</v>
      </c>
      <c r="F54" s="6" t="n">
        <v>437.5</v>
      </c>
      <c r="G54" s="6" t="n">
        <v>437.5</v>
      </c>
      <c r="H54" s="6" t="n">
        <v>437.5</v>
      </c>
      <c r="I54" s="6" t="n">
        <v>437.5</v>
      </c>
      <c r="J54" s="6" t="n">
        <v>437.5</v>
      </c>
      <c r="K54" s="6" t="n">
        <v>437.5</v>
      </c>
      <c r="L54" s="6" t="n">
        <v>437.5</v>
      </c>
      <c r="M54" s="6" t="n">
        <v>437.5</v>
      </c>
      <c r="N54" s="6" t="n">
        <v>437.5</v>
      </c>
      <c r="O54" s="6" t="n">
        <v>437.5</v>
      </c>
      <c r="P54" s="6" t="n">
        <v>437.5</v>
      </c>
      <c r="Q54" s="6" t="n">
        <v>437.5</v>
      </c>
      <c r="R54" s="6" t="n">
        <v>437.5</v>
      </c>
      <c r="S54" s="6" t="n">
        <v>437.5</v>
      </c>
      <c r="T54" s="6" t="n">
        <v>437.5</v>
      </c>
      <c r="U54" s="6" t="n">
        <v>437.5</v>
      </c>
      <c r="V54" s="6" t="n">
        <v>437.5</v>
      </c>
      <c r="W54" s="6" t="n">
        <v>437.5</v>
      </c>
      <c r="X54" s="6" t="n">
        <v>437.5</v>
      </c>
      <c r="Y54" s="6" t="n">
        <v>437.5</v>
      </c>
      <c r="Z54" s="6" t="n">
        <v>437.5</v>
      </c>
      <c r="AA54" s="6" t="n">
        <v>437.5</v>
      </c>
      <c r="AB54" s="6" t="n">
        <v>437.5</v>
      </c>
      <c r="AC54" s="6" t="n">
        <v>437.5</v>
      </c>
      <c r="AD54" s="6" t="n">
        <v>437.5</v>
      </c>
      <c r="AE54" s="6" t="n">
        <v>437.5</v>
      </c>
      <c r="AF54" s="6" t="n">
        <v>437.5</v>
      </c>
      <c r="AG54" s="6" t="n">
        <v>437.5</v>
      </c>
      <c r="AH54" s="6" t="n">
        <v>437.5</v>
      </c>
    </row>
    <row r="55" hidden="1" outlineLevel="3" collapsed="1">
      <c r="A55" s="12" t="inlineStr">
        <is>
          <t>6701 - Interest on long term loans</t>
        </is>
      </c>
      <c r="B55" s="6" t="n">
        <v>1644.351851851852</v>
      </c>
      <c r="C55" s="6" t="n">
        <v>1633.054783950618</v>
      </c>
      <c r="D55" s="6" t="n">
        <v>1621.663573816873</v>
      </c>
      <c r="E55" s="6" t="n">
        <v>1610.177436932014</v>
      </c>
      <c r="F55" s="6" t="n">
        <v>1598.595582239781</v>
      </c>
      <c r="G55" s="6" t="n">
        <v>1586.917212091778</v>
      </c>
      <c r="H55" s="6" t="n">
        <v>1575.141522192543</v>
      </c>
      <c r="I55" s="6" t="n">
        <v>1563.267701544148</v>
      </c>
      <c r="J55" s="6" t="n">
        <v>1551.294932390349</v>
      </c>
      <c r="K55" s="6" t="n">
        <v>1539.222390160269</v>
      </c>
      <c r="L55" s="6" t="n">
        <v>1527.049243411604</v>
      </c>
      <c r="M55" s="6" t="n">
        <v>1514.774653773368</v>
      </c>
      <c r="N55" s="6" t="n">
        <v>1502.397775888146</v>
      </c>
      <c r="O55" s="6" t="n">
        <v>1489.91775735388</v>
      </c>
      <c r="P55" s="6" t="n">
        <v>1477.333738665163</v>
      </c>
      <c r="Q55" s="6" t="n">
        <v>1464.644853154039</v>
      </c>
      <c r="R55" s="6" t="n">
        <v>1451.850226930323</v>
      </c>
      <c r="S55" s="6" t="n">
        <v>1438.948978821409</v>
      </c>
      <c r="T55" s="6" t="n">
        <v>1425.940220311587</v>
      </c>
      <c r="U55" s="6" t="n">
        <v>1412.82305548085</v>
      </c>
      <c r="V55" s="6" t="n">
        <v>1399.596580943191</v>
      </c>
      <c r="W55" s="6" t="n">
        <v>1386.259885784384</v>
      </c>
      <c r="X55" s="6" t="n">
        <v>1372.812051499254</v>
      </c>
      <c r="Y55" s="6" t="n">
        <v>1359.252151928414</v>
      </c>
      <c r="Z55" s="6" t="n">
        <v>1345.579253194484</v>
      </c>
      <c r="AA55" s="6" t="n">
        <v>1331.792413637772</v>
      </c>
      <c r="AB55" s="6" t="n">
        <v>1317.890683751419</v>
      </c>
      <c r="AC55" s="6" t="n">
        <v>1303.873106116014</v>
      </c>
      <c r="AD55" s="6" t="n">
        <v>1289.738715333648</v>
      </c>
      <c r="AE55" s="6" t="n">
        <v>1275.486537961429</v>
      </c>
      <c r="AF55" s="6" t="n">
        <v>1261.11559244444</v>
      </c>
      <c r="AG55" s="6" t="n">
        <v>1246.624889048144</v>
      </c>
      <c r="AH55" s="6" t="n">
        <v>1232.013429790212</v>
      </c>
    </row>
    <row r="56" hidden="1" outlineLevel="1" collapsed="1">
      <c r="A56" s="10" t="inlineStr">
        <is>
          <t>Management salaries</t>
        </is>
      </c>
      <c r="B56" s="6" t="n">
        <v>15000</v>
      </c>
      <c r="C56" s="6" t="n">
        <v>15000</v>
      </c>
      <c r="D56" s="6" t="n">
        <v>15000</v>
      </c>
      <c r="E56" s="6" t="n">
        <v>15000</v>
      </c>
      <c r="F56" s="6" t="n">
        <v>15000</v>
      </c>
      <c r="G56" s="6" t="n">
        <v>15000</v>
      </c>
      <c r="H56" s="6" t="n">
        <v>15000</v>
      </c>
      <c r="I56" s="6" t="n">
        <v>15000</v>
      </c>
      <c r="J56" s="6" t="n">
        <v>15000</v>
      </c>
      <c r="K56" s="6" t="n">
        <v>15000</v>
      </c>
      <c r="L56" s="6" t="n">
        <v>15000</v>
      </c>
      <c r="M56" s="6" t="n">
        <v>15000</v>
      </c>
      <c r="N56" s="6" t="n">
        <v>15000</v>
      </c>
      <c r="O56" s="6" t="n">
        <v>15000</v>
      </c>
      <c r="P56" s="6" t="n">
        <v>15000</v>
      </c>
      <c r="Q56" s="6" t="n">
        <v>15000</v>
      </c>
      <c r="R56" s="6" t="n">
        <v>15000</v>
      </c>
      <c r="S56" s="6" t="n">
        <v>15000</v>
      </c>
      <c r="T56" s="6" t="n">
        <v>15000</v>
      </c>
      <c r="U56" s="6" t="n">
        <v>15000</v>
      </c>
      <c r="V56" s="6" t="n">
        <v>15000</v>
      </c>
      <c r="W56" s="6" t="n">
        <v>15000</v>
      </c>
      <c r="X56" s="6" t="n">
        <v>15000</v>
      </c>
      <c r="Y56" s="6" t="n">
        <v>15000</v>
      </c>
      <c r="Z56" s="6" t="n">
        <v>15000</v>
      </c>
      <c r="AA56" s="6" t="n">
        <v>15000</v>
      </c>
      <c r="AB56" s="6" t="n">
        <v>15000</v>
      </c>
      <c r="AC56" s="6" t="n">
        <v>15000</v>
      </c>
      <c r="AD56" s="6" t="n">
        <v>15000</v>
      </c>
      <c r="AE56" s="6" t="n">
        <v>15000</v>
      </c>
      <c r="AF56" s="6" t="n">
        <v>15000</v>
      </c>
      <c r="AG56" s="6" t="n">
        <v>15000</v>
      </c>
      <c r="AH56" s="6" t="n">
        <v>15000</v>
      </c>
    </row>
    <row r="57" hidden="1" outlineLevel="2" collapsed="1">
      <c r="A57" s="11" t="inlineStr"/>
      <c r="B57" s="6" t="n">
        <v>15000</v>
      </c>
      <c r="C57" s="6" t="n">
        <v>15000</v>
      </c>
      <c r="D57" s="6" t="n">
        <v>15000</v>
      </c>
      <c r="E57" s="6" t="n">
        <v>15000</v>
      </c>
      <c r="F57" s="6" t="n">
        <v>15000</v>
      </c>
      <c r="G57" s="6" t="n">
        <v>15000</v>
      </c>
      <c r="H57" s="6" t="n">
        <v>15000</v>
      </c>
      <c r="I57" s="6" t="n">
        <v>15000</v>
      </c>
      <c r="J57" s="6" t="n">
        <v>15000</v>
      </c>
      <c r="K57" s="6" t="n">
        <v>15000</v>
      </c>
      <c r="L57" s="6" t="n">
        <v>15000</v>
      </c>
      <c r="M57" s="6" t="n">
        <v>15000</v>
      </c>
      <c r="N57" s="6" t="n">
        <v>15000</v>
      </c>
      <c r="O57" s="6" t="n">
        <v>15000</v>
      </c>
      <c r="P57" s="6" t="n">
        <v>15000</v>
      </c>
      <c r="Q57" s="6" t="n">
        <v>15000</v>
      </c>
      <c r="R57" s="6" t="n">
        <v>15000</v>
      </c>
      <c r="S57" s="6" t="n">
        <v>15000</v>
      </c>
      <c r="T57" s="6" t="n">
        <v>15000</v>
      </c>
      <c r="U57" s="6" t="n">
        <v>15000</v>
      </c>
      <c r="V57" s="6" t="n">
        <v>15000</v>
      </c>
      <c r="W57" s="6" t="n">
        <v>15000</v>
      </c>
      <c r="X57" s="6" t="n">
        <v>15000</v>
      </c>
      <c r="Y57" s="6" t="n">
        <v>15000</v>
      </c>
      <c r="Z57" s="6" t="n">
        <v>15000</v>
      </c>
      <c r="AA57" s="6" t="n">
        <v>15000</v>
      </c>
      <c r="AB57" s="6" t="n">
        <v>15000</v>
      </c>
      <c r="AC57" s="6" t="n">
        <v>15000</v>
      </c>
      <c r="AD57" s="6" t="n">
        <v>15000</v>
      </c>
      <c r="AE57" s="6" t="n">
        <v>15000</v>
      </c>
      <c r="AF57" s="6" t="n">
        <v>15000</v>
      </c>
      <c r="AG57" s="6" t="n">
        <v>15000</v>
      </c>
      <c r="AH57" s="6" t="n">
        <v>15000</v>
      </c>
    </row>
    <row r="58" hidden="1" outlineLevel="3" collapsed="1">
      <c r="A58" s="12" t="inlineStr">
        <is>
          <t>6410 - Management salaries</t>
        </is>
      </c>
      <c r="B58" s="6" t="n">
        <v>15000</v>
      </c>
      <c r="C58" s="6" t="n">
        <v>15000</v>
      </c>
      <c r="D58" s="6" t="n">
        <v>15000</v>
      </c>
      <c r="E58" s="6" t="n">
        <v>15000</v>
      </c>
      <c r="F58" s="6" t="n">
        <v>15000</v>
      </c>
      <c r="G58" s="6" t="n">
        <v>15000</v>
      </c>
      <c r="H58" s="6" t="n">
        <v>15000</v>
      </c>
      <c r="I58" s="6" t="n">
        <v>15000</v>
      </c>
      <c r="J58" s="6" t="n">
        <v>15000</v>
      </c>
      <c r="K58" s="6" t="n">
        <v>15000</v>
      </c>
      <c r="L58" s="6" t="n">
        <v>15000</v>
      </c>
      <c r="M58" s="6" t="n">
        <v>15000</v>
      </c>
      <c r="N58" s="6" t="n">
        <v>15000</v>
      </c>
      <c r="O58" s="6" t="n">
        <v>15000</v>
      </c>
      <c r="P58" s="6" t="n">
        <v>15000</v>
      </c>
      <c r="Q58" s="6" t="n">
        <v>15000</v>
      </c>
      <c r="R58" s="6" t="n">
        <v>15000</v>
      </c>
      <c r="S58" s="6" t="n">
        <v>15000</v>
      </c>
      <c r="T58" s="6" t="n">
        <v>15000</v>
      </c>
      <c r="U58" s="6" t="n">
        <v>15000</v>
      </c>
      <c r="V58" s="6" t="n">
        <v>15000</v>
      </c>
      <c r="W58" s="6" t="n">
        <v>15000</v>
      </c>
      <c r="X58" s="6" t="n">
        <v>15000</v>
      </c>
      <c r="Y58" s="6" t="n">
        <v>15000</v>
      </c>
      <c r="Z58" s="6" t="n">
        <v>15000</v>
      </c>
      <c r="AA58" s="6" t="n">
        <v>15000</v>
      </c>
      <c r="AB58" s="6" t="n">
        <v>15000</v>
      </c>
      <c r="AC58" s="6" t="n">
        <v>15000</v>
      </c>
      <c r="AD58" s="6" t="n">
        <v>15000</v>
      </c>
      <c r="AE58" s="6" t="n">
        <v>15000</v>
      </c>
      <c r="AF58" s="6" t="n">
        <v>15000</v>
      </c>
      <c r="AG58" s="6" t="n">
        <v>15000</v>
      </c>
      <c r="AH58" s="6" t="n">
        <v>15000</v>
      </c>
    </row>
    <row r="59" hidden="1" outlineLevel="1" collapsed="1">
      <c r="A59" s="10" t="inlineStr">
        <is>
          <t>Meals and entertainment</t>
        </is>
      </c>
      <c r="B59" s="6" t="n">
        <v>400</v>
      </c>
      <c r="C59" s="6" t="n">
        <v>400</v>
      </c>
      <c r="D59" s="6" t="n">
        <v>5400</v>
      </c>
      <c r="E59" s="6" t="n">
        <v>400</v>
      </c>
      <c r="F59" s="6" t="n">
        <v>400</v>
      </c>
      <c r="G59" s="6" t="n">
        <v>1400</v>
      </c>
      <c r="H59" s="6" t="n">
        <v>400</v>
      </c>
      <c r="I59" s="6" t="n">
        <v>400</v>
      </c>
      <c r="J59" s="6" t="n">
        <v>5400</v>
      </c>
      <c r="K59" s="6" t="n">
        <v>400</v>
      </c>
      <c r="L59" s="6" t="n">
        <v>400</v>
      </c>
      <c r="M59" s="6" t="n">
        <v>1400</v>
      </c>
      <c r="N59" s="6" t="n">
        <v>400</v>
      </c>
      <c r="O59" s="6" t="n">
        <v>400</v>
      </c>
      <c r="P59" s="6" t="n">
        <v>5400</v>
      </c>
      <c r="Q59" s="6" t="n">
        <v>400</v>
      </c>
      <c r="R59" s="6" t="n">
        <v>400</v>
      </c>
      <c r="S59" s="6" t="n">
        <v>1400</v>
      </c>
      <c r="T59" s="6" t="n">
        <v>400</v>
      </c>
      <c r="U59" s="6" t="n">
        <v>400</v>
      </c>
      <c r="V59" s="6" t="n">
        <v>5400</v>
      </c>
      <c r="W59" s="6" t="n">
        <v>400</v>
      </c>
      <c r="X59" s="6" t="n">
        <v>400</v>
      </c>
      <c r="Y59" s="6" t="n">
        <v>1400</v>
      </c>
      <c r="Z59" s="6" t="n">
        <v>400</v>
      </c>
      <c r="AA59" s="6" t="n">
        <v>400</v>
      </c>
      <c r="AB59" s="6" t="n">
        <v>5400</v>
      </c>
      <c r="AC59" s="6" t="n">
        <v>400</v>
      </c>
      <c r="AD59" s="6" t="n">
        <v>400</v>
      </c>
      <c r="AE59" s="6" t="n">
        <v>1400</v>
      </c>
      <c r="AF59" s="6" t="n">
        <v>400</v>
      </c>
      <c r="AG59" s="6" t="n">
        <v>400</v>
      </c>
      <c r="AH59" s="6" t="n">
        <v>5400</v>
      </c>
    </row>
    <row r="60" hidden="1" outlineLevel="2" collapsed="1">
      <c r="A60" s="11" t="inlineStr"/>
      <c r="B60" s="6" t="n">
        <v>400</v>
      </c>
      <c r="C60" s="6" t="n">
        <v>400</v>
      </c>
      <c r="D60" s="6" t="n">
        <v>5400</v>
      </c>
      <c r="E60" s="6" t="n">
        <v>400</v>
      </c>
      <c r="F60" s="6" t="n">
        <v>400</v>
      </c>
      <c r="G60" s="6" t="n">
        <v>1400</v>
      </c>
      <c r="H60" s="6" t="n">
        <v>400</v>
      </c>
      <c r="I60" s="6" t="n">
        <v>400</v>
      </c>
      <c r="J60" s="6" t="n">
        <v>5400</v>
      </c>
      <c r="K60" s="6" t="n">
        <v>400</v>
      </c>
      <c r="L60" s="6" t="n">
        <v>400</v>
      </c>
      <c r="M60" s="6" t="n">
        <v>1400</v>
      </c>
      <c r="N60" s="6" t="n">
        <v>400</v>
      </c>
      <c r="O60" s="6" t="n">
        <v>400</v>
      </c>
      <c r="P60" s="6" t="n">
        <v>5400</v>
      </c>
      <c r="Q60" s="6" t="n">
        <v>400</v>
      </c>
      <c r="R60" s="6" t="n">
        <v>400</v>
      </c>
      <c r="S60" s="6" t="n">
        <v>1400</v>
      </c>
      <c r="T60" s="6" t="n">
        <v>400</v>
      </c>
      <c r="U60" s="6" t="n">
        <v>400</v>
      </c>
      <c r="V60" s="6" t="n">
        <v>5400</v>
      </c>
      <c r="W60" s="6" t="n">
        <v>400</v>
      </c>
      <c r="X60" s="6" t="n">
        <v>400</v>
      </c>
      <c r="Y60" s="6" t="n">
        <v>1400</v>
      </c>
      <c r="Z60" s="6" t="n">
        <v>400</v>
      </c>
      <c r="AA60" s="6" t="n">
        <v>400</v>
      </c>
      <c r="AB60" s="6" t="n">
        <v>5400</v>
      </c>
      <c r="AC60" s="6" t="n">
        <v>400</v>
      </c>
      <c r="AD60" s="6" t="n">
        <v>400</v>
      </c>
      <c r="AE60" s="6" t="n">
        <v>1400</v>
      </c>
      <c r="AF60" s="6" t="n">
        <v>400</v>
      </c>
      <c r="AG60" s="6" t="n">
        <v>400</v>
      </c>
      <c r="AH60" s="6" t="n">
        <v>5400</v>
      </c>
    </row>
    <row r="61" hidden="1" outlineLevel="3" collapsed="1">
      <c r="A61" s="12" t="inlineStr">
        <is>
          <t>6500 - Client dinners</t>
        </is>
      </c>
      <c r="B61" s="6" t="n">
        <v>400</v>
      </c>
      <c r="C61" s="6" t="n">
        <v>400</v>
      </c>
      <c r="D61" s="6" t="n">
        <v>400</v>
      </c>
      <c r="E61" s="6" t="n">
        <v>400</v>
      </c>
      <c r="F61" s="6" t="n">
        <v>400</v>
      </c>
      <c r="G61" s="6" t="n">
        <v>400</v>
      </c>
      <c r="H61" s="6" t="n">
        <v>400</v>
      </c>
      <c r="I61" s="6" t="n">
        <v>400</v>
      </c>
      <c r="J61" s="6" t="n">
        <v>400</v>
      </c>
      <c r="K61" s="6" t="n">
        <v>400</v>
      </c>
      <c r="L61" s="6" t="n">
        <v>400</v>
      </c>
      <c r="M61" s="6" t="n">
        <v>400</v>
      </c>
      <c r="N61" s="6" t="n">
        <v>400</v>
      </c>
      <c r="O61" s="6" t="n">
        <v>400</v>
      </c>
      <c r="P61" s="6" t="n">
        <v>400</v>
      </c>
      <c r="Q61" s="6" t="n">
        <v>400</v>
      </c>
      <c r="R61" s="6" t="n">
        <v>400</v>
      </c>
      <c r="S61" s="6" t="n">
        <v>400</v>
      </c>
      <c r="T61" s="6" t="n">
        <v>400</v>
      </c>
      <c r="U61" s="6" t="n">
        <v>400</v>
      </c>
      <c r="V61" s="6" t="n">
        <v>400</v>
      </c>
      <c r="W61" s="6" t="n">
        <v>400</v>
      </c>
      <c r="X61" s="6" t="n">
        <v>400</v>
      </c>
      <c r="Y61" s="6" t="n">
        <v>400</v>
      </c>
      <c r="Z61" s="6" t="n">
        <v>400</v>
      </c>
      <c r="AA61" s="6" t="n">
        <v>400</v>
      </c>
      <c r="AB61" s="6" t="n">
        <v>400</v>
      </c>
      <c r="AC61" s="6" t="n">
        <v>400</v>
      </c>
      <c r="AD61" s="6" t="n">
        <v>400</v>
      </c>
      <c r="AE61" s="6" t="n">
        <v>400</v>
      </c>
      <c r="AF61" s="6" t="n">
        <v>400</v>
      </c>
      <c r="AG61" s="6" t="n">
        <v>400</v>
      </c>
      <c r="AH61" s="6" t="n">
        <v>400</v>
      </c>
    </row>
    <row r="62" hidden="1" outlineLevel="3" collapsed="1">
      <c r="A62" s="12" t="inlineStr">
        <is>
          <t>6501 - Jays/Leafs/Raptors tickets</t>
        </is>
      </c>
      <c r="B62" s="6" t="n">
        <v>0</v>
      </c>
      <c r="C62" s="6" t="n">
        <v>0</v>
      </c>
      <c r="D62" s="6" t="n">
        <v>1000</v>
      </c>
      <c r="E62" s="6" t="n">
        <v>0</v>
      </c>
      <c r="F62" s="6" t="n">
        <v>0</v>
      </c>
      <c r="G62" s="6" t="n">
        <v>1000</v>
      </c>
      <c r="H62" s="6" t="n">
        <v>0</v>
      </c>
      <c r="I62" s="6" t="n">
        <v>0</v>
      </c>
      <c r="J62" s="6" t="n">
        <v>1000</v>
      </c>
      <c r="K62" s="6" t="n">
        <v>0</v>
      </c>
      <c r="L62" s="6" t="n">
        <v>0</v>
      </c>
      <c r="M62" s="6" t="n">
        <v>1000</v>
      </c>
      <c r="N62" s="6" t="n">
        <v>0</v>
      </c>
      <c r="O62" s="6" t="n">
        <v>0</v>
      </c>
      <c r="P62" s="6" t="n">
        <v>1000</v>
      </c>
      <c r="Q62" s="6" t="n">
        <v>0</v>
      </c>
      <c r="R62" s="6" t="n">
        <v>0</v>
      </c>
      <c r="S62" s="6" t="n">
        <v>1000</v>
      </c>
      <c r="T62" s="6" t="n">
        <v>0</v>
      </c>
      <c r="U62" s="6" t="n">
        <v>0</v>
      </c>
      <c r="V62" s="6" t="n">
        <v>1000</v>
      </c>
      <c r="W62" s="6" t="n">
        <v>0</v>
      </c>
      <c r="X62" s="6" t="n">
        <v>0</v>
      </c>
      <c r="Y62" s="6" t="n">
        <v>1000</v>
      </c>
      <c r="Z62" s="6" t="n">
        <v>0</v>
      </c>
      <c r="AA62" s="6" t="n">
        <v>0</v>
      </c>
      <c r="AB62" s="6" t="n">
        <v>1000</v>
      </c>
      <c r="AC62" s="6" t="n">
        <v>0</v>
      </c>
      <c r="AD62" s="6" t="n">
        <v>0</v>
      </c>
      <c r="AE62" s="6" t="n">
        <v>1000</v>
      </c>
      <c r="AF62" s="6" t="n">
        <v>0</v>
      </c>
      <c r="AG62" s="6" t="n">
        <v>0</v>
      </c>
      <c r="AH62" s="6" t="n">
        <v>1000</v>
      </c>
    </row>
    <row r="63" hidden="1" outlineLevel="3" collapsed="1">
      <c r="A63" s="12" t="inlineStr">
        <is>
          <t>6502 - Holiday parties</t>
        </is>
      </c>
      <c r="B63" s="6" t="n">
        <v>0</v>
      </c>
      <c r="C63" s="6" t="n">
        <v>0</v>
      </c>
      <c r="D63" s="6" t="n">
        <v>4000</v>
      </c>
      <c r="E63" s="6" t="n">
        <v>0</v>
      </c>
      <c r="F63" s="6" t="n">
        <v>0</v>
      </c>
      <c r="G63" s="6" t="n">
        <v>0</v>
      </c>
      <c r="H63" s="6" t="n">
        <v>0</v>
      </c>
      <c r="I63" s="6" t="n">
        <v>0</v>
      </c>
      <c r="J63" s="6" t="n">
        <v>4000</v>
      </c>
      <c r="K63" s="6" t="n">
        <v>0</v>
      </c>
      <c r="L63" s="6" t="n">
        <v>0</v>
      </c>
      <c r="M63" s="6" t="n">
        <v>0</v>
      </c>
      <c r="N63" s="6" t="n">
        <v>0</v>
      </c>
      <c r="O63" s="6" t="n">
        <v>0</v>
      </c>
      <c r="P63" s="6" t="n">
        <v>4000</v>
      </c>
      <c r="Q63" s="6" t="n">
        <v>0</v>
      </c>
      <c r="R63" s="6" t="n">
        <v>0</v>
      </c>
      <c r="S63" s="6" t="n">
        <v>0</v>
      </c>
      <c r="T63" s="6" t="n">
        <v>0</v>
      </c>
      <c r="U63" s="6" t="n">
        <v>0</v>
      </c>
      <c r="V63" s="6" t="n">
        <v>4000</v>
      </c>
      <c r="W63" s="6" t="n">
        <v>0</v>
      </c>
      <c r="X63" s="6" t="n">
        <v>0</v>
      </c>
      <c r="Y63" s="6" t="n">
        <v>0</v>
      </c>
      <c r="Z63" s="6" t="n">
        <v>0</v>
      </c>
      <c r="AA63" s="6" t="n">
        <v>0</v>
      </c>
      <c r="AB63" s="6" t="n">
        <v>4000</v>
      </c>
      <c r="AC63" s="6" t="n">
        <v>0</v>
      </c>
      <c r="AD63" s="6" t="n">
        <v>0</v>
      </c>
      <c r="AE63" s="6" t="n">
        <v>0</v>
      </c>
      <c r="AF63" s="6" t="n">
        <v>0</v>
      </c>
      <c r="AG63" s="6" t="n">
        <v>0</v>
      </c>
      <c r="AH63" s="6" t="n">
        <v>4000</v>
      </c>
    </row>
    <row r="64" hidden="1" outlineLevel="1" collapsed="1">
      <c r="A64" s="10" t="inlineStr">
        <is>
          <t>Office expenses</t>
        </is>
      </c>
      <c r="B64" s="6" t="n">
        <v>1350</v>
      </c>
      <c r="C64" s="6" t="n">
        <v>1350</v>
      </c>
      <c r="D64" s="6" t="n">
        <v>1350</v>
      </c>
      <c r="E64" s="6" t="n">
        <v>1350</v>
      </c>
      <c r="F64" s="6" t="n">
        <v>1350</v>
      </c>
      <c r="G64" s="6" t="n">
        <v>1350</v>
      </c>
      <c r="H64" s="6" t="n">
        <v>1350</v>
      </c>
      <c r="I64" s="6" t="n">
        <v>1350</v>
      </c>
      <c r="J64" s="6" t="n">
        <v>1350</v>
      </c>
      <c r="K64" s="6" t="n">
        <v>1350</v>
      </c>
      <c r="L64" s="6" t="n">
        <v>1350</v>
      </c>
      <c r="M64" s="6" t="n">
        <v>1350</v>
      </c>
      <c r="N64" s="6" t="n">
        <v>1350</v>
      </c>
      <c r="O64" s="6" t="n">
        <v>1350</v>
      </c>
      <c r="P64" s="6" t="n">
        <v>1350</v>
      </c>
      <c r="Q64" s="6" t="n">
        <v>1350</v>
      </c>
      <c r="R64" s="6" t="n">
        <v>1350</v>
      </c>
      <c r="S64" s="6" t="n">
        <v>1350</v>
      </c>
      <c r="T64" s="6" t="n">
        <v>1350</v>
      </c>
      <c r="U64" s="6" t="n">
        <v>1350</v>
      </c>
      <c r="V64" s="6" t="n">
        <v>1350</v>
      </c>
      <c r="W64" s="6" t="n">
        <v>1350</v>
      </c>
      <c r="X64" s="6" t="n">
        <v>1350</v>
      </c>
      <c r="Y64" s="6" t="n">
        <v>1350</v>
      </c>
      <c r="Z64" s="6" t="n">
        <v>1350</v>
      </c>
      <c r="AA64" s="6" t="n">
        <v>1350</v>
      </c>
      <c r="AB64" s="6" t="n">
        <v>1350</v>
      </c>
      <c r="AC64" s="6" t="n">
        <v>1350</v>
      </c>
      <c r="AD64" s="6" t="n">
        <v>1350</v>
      </c>
      <c r="AE64" s="6" t="n">
        <v>1350</v>
      </c>
      <c r="AF64" s="6" t="n">
        <v>1350</v>
      </c>
      <c r="AG64" s="6" t="n">
        <v>1350</v>
      </c>
      <c r="AH64" s="6" t="n">
        <v>1350</v>
      </c>
    </row>
    <row r="65" hidden="1" outlineLevel="2" collapsed="1">
      <c r="A65" s="11" t="inlineStr"/>
      <c r="B65" s="6" t="n">
        <v>1350</v>
      </c>
      <c r="C65" s="6" t="n">
        <v>1350</v>
      </c>
      <c r="D65" s="6" t="n">
        <v>1350</v>
      </c>
      <c r="E65" s="6" t="n">
        <v>1350</v>
      </c>
      <c r="F65" s="6" t="n">
        <v>1350</v>
      </c>
      <c r="G65" s="6" t="n">
        <v>1350</v>
      </c>
      <c r="H65" s="6" t="n">
        <v>1350</v>
      </c>
      <c r="I65" s="6" t="n">
        <v>1350</v>
      </c>
      <c r="J65" s="6" t="n">
        <v>1350</v>
      </c>
      <c r="K65" s="6" t="n">
        <v>1350</v>
      </c>
      <c r="L65" s="6" t="n">
        <v>1350</v>
      </c>
      <c r="M65" s="6" t="n">
        <v>1350</v>
      </c>
      <c r="N65" s="6" t="n">
        <v>1350</v>
      </c>
      <c r="O65" s="6" t="n">
        <v>1350</v>
      </c>
      <c r="P65" s="6" t="n">
        <v>1350</v>
      </c>
      <c r="Q65" s="6" t="n">
        <v>1350</v>
      </c>
      <c r="R65" s="6" t="n">
        <v>1350</v>
      </c>
      <c r="S65" s="6" t="n">
        <v>1350</v>
      </c>
      <c r="T65" s="6" t="n">
        <v>1350</v>
      </c>
      <c r="U65" s="6" t="n">
        <v>1350</v>
      </c>
      <c r="V65" s="6" t="n">
        <v>1350</v>
      </c>
      <c r="W65" s="6" t="n">
        <v>1350</v>
      </c>
      <c r="X65" s="6" t="n">
        <v>1350</v>
      </c>
      <c r="Y65" s="6" t="n">
        <v>1350</v>
      </c>
      <c r="Z65" s="6" t="n">
        <v>1350</v>
      </c>
      <c r="AA65" s="6" t="n">
        <v>1350</v>
      </c>
      <c r="AB65" s="6" t="n">
        <v>1350</v>
      </c>
      <c r="AC65" s="6" t="n">
        <v>1350</v>
      </c>
      <c r="AD65" s="6" t="n">
        <v>1350</v>
      </c>
      <c r="AE65" s="6" t="n">
        <v>1350</v>
      </c>
      <c r="AF65" s="6" t="n">
        <v>1350</v>
      </c>
      <c r="AG65" s="6" t="n">
        <v>1350</v>
      </c>
      <c r="AH65" s="6" t="n">
        <v>1350</v>
      </c>
    </row>
    <row r="66" hidden="1" outlineLevel="3" collapsed="1">
      <c r="A66" s="12" t="inlineStr">
        <is>
          <t>6300 - Office supplies</t>
        </is>
      </c>
      <c r="B66" s="6" t="n">
        <v>600</v>
      </c>
      <c r="C66" s="6" t="n">
        <v>600</v>
      </c>
      <c r="D66" s="6" t="n">
        <v>600</v>
      </c>
      <c r="E66" s="6" t="n">
        <v>600</v>
      </c>
      <c r="F66" s="6" t="n">
        <v>600</v>
      </c>
      <c r="G66" s="6" t="n">
        <v>600</v>
      </c>
      <c r="H66" s="6" t="n">
        <v>600</v>
      </c>
      <c r="I66" s="6" t="n">
        <v>600</v>
      </c>
      <c r="J66" s="6" t="n">
        <v>600</v>
      </c>
      <c r="K66" s="6" t="n">
        <v>600</v>
      </c>
      <c r="L66" s="6" t="n">
        <v>600</v>
      </c>
      <c r="M66" s="6" t="n">
        <v>600</v>
      </c>
      <c r="N66" s="6" t="n">
        <v>600</v>
      </c>
      <c r="O66" s="6" t="n">
        <v>600</v>
      </c>
      <c r="P66" s="6" t="n">
        <v>600</v>
      </c>
      <c r="Q66" s="6" t="n">
        <v>600</v>
      </c>
      <c r="R66" s="6" t="n">
        <v>600</v>
      </c>
      <c r="S66" s="6" t="n">
        <v>600</v>
      </c>
      <c r="T66" s="6" t="n">
        <v>600</v>
      </c>
      <c r="U66" s="6" t="n">
        <v>600</v>
      </c>
      <c r="V66" s="6" t="n">
        <v>600</v>
      </c>
      <c r="W66" s="6" t="n">
        <v>600</v>
      </c>
      <c r="X66" s="6" t="n">
        <v>600</v>
      </c>
      <c r="Y66" s="6" t="n">
        <v>600</v>
      </c>
      <c r="Z66" s="6" t="n">
        <v>600</v>
      </c>
      <c r="AA66" s="6" t="n">
        <v>600</v>
      </c>
      <c r="AB66" s="6" t="n">
        <v>600</v>
      </c>
      <c r="AC66" s="6" t="n">
        <v>600</v>
      </c>
      <c r="AD66" s="6" t="n">
        <v>600</v>
      </c>
      <c r="AE66" s="6" t="n">
        <v>600</v>
      </c>
      <c r="AF66" s="6" t="n">
        <v>600</v>
      </c>
      <c r="AG66" s="6" t="n">
        <v>600</v>
      </c>
      <c r="AH66" s="6" t="n">
        <v>600</v>
      </c>
    </row>
    <row r="67" hidden="1" outlineLevel="3" collapsed="1">
      <c r="A67" s="12" t="inlineStr">
        <is>
          <t>6301 - Mail/courier expenses</t>
        </is>
      </c>
      <c r="B67" s="6" t="n">
        <v>200</v>
      </c>
      <c r="C67" s="6" t="n">
        <v>200</v>
      </c>
      <c r="D67" s="6" t="n">
        <v>200</v>
      </c>
      <c r="E67" s="6" t="n">
        <v>200</v>
      </c>
      <c r="F67" s="6" t="n">
        <v>200</v>
      </c>
      <c r="G67" s="6" t="n">
        <v>200</v>
      </c>
      <c r="H67" s="6" t="n">
        <v>200</v>
      </c>
      <c r="I67" s="6" t="n">
        <v>200</v>
      </c>
      <c r="J67" s="6" t="n">
        <v>200</v>
      </c>
      <c r="K67" s="6" t="n">
        <v>200</v>
      </c>
      <c r="L67" s="6" t="n">
        <v>200</v>
      </c>
      <c r="M67" s="6" t="n">
        <v>200</v>
      </c>
      <c r="N67" s="6" t="n">
        <v>200</v>
      </c>
      <c r="O67" s="6" t="n">
        <v>200</v>
      </c>
      <c r="P67" s="6" t="n">
        <v>200</v>
      </c>
      <c r="Q67" s="6" t="n">
        <v>200</v>
      </c>
      <c r="R67" s="6" t="n">
        <v>200</v>
      </c>
      <c r="S67" s="6" t="n">
        <v>200</v>
      </c>
      <c r="T67" s="6" t="n">
        <v>200</v>
      </c>
      <c r="U67" s="6" t="n">
        <v>200</v>
      </c>
      <c r="V67" s="6" t="n">
        <v>200</v>
      </c>
      <c r="W67" s="6" t="n">
        <v>200</v>
      </c>
      <c r="X67" s="6" t="n">
        <v>200</v>
      </c>
      <c r="Y67" s="6" t="n">
        <v>200</v>
      </c>
      <c r="Z67" s="6" t="n">
        <v>200</v>
      </c>
      <c r="AA67" s="6" t="n">
        <v>200</v>
      </c>
      <c r="AB67" s="6" t="n">
        <v>200</v>
      </c>
      <c r="AC67" s="6" t="n">
        <v>200</v>
      </c>
      <c r="AD67" s="6" t="n">
        <v>200</v>
      </c>
      <c r="AE67" s="6" t="n">
        <v>200</v>
      </c>
      <c r="AF67" s="6" t="n">
        <v>200</v>
      </c>
      <c r="AG67" s="6" t="n">
        <v>200</v>
      </c>
      <c r="AH67" s="6" t="n">
        <v>200</v>
      </c>
    </row>
    <row r="68" hidden="1" outlineLevel="3" collapsed="1">
      <c r="A68" s="12" t="inlineStr">
        <is>
          <t>6302 - General office/store maintenance</t>
        </is>
      </c>
      <c r="B68" s="6" t="n">
        <v>300</v>
      </c>
      <c r="C68" s="6" t="n">
        <v>300</v>
      </c>
      <c r="D68" s="6" t="n">
        <v>300</v>
      </c>
      <c r="E68" s="6" t="n">
        <v>300</v>
      </c>
      <c r="F68" s="6" t="n">
        <v>300</v>
      </c>
      <c r="G68" s="6" t="n">
        <v>300</v>
      </c>
      <c r="H68" s="6" t="n">
        <v>300</v>
      </c>
      <c r="I68" s="6" t="n">
        <v>300</v>
      </c>
      <c r="J68" s="6" t="n">
        <v>300</v>
      </c>
      <c r="K68" s="6" t="n">
        <v>300</v>
      </c>
      <c r="L68" s="6" t="n">
        <v>300</v>
      </c>
      <c r="M68" s="6" t="n">
        <v>300</v>
      </c>
      <c r="N68" s="6" t="n">
        <v>300</v>
      </c>
      <c r="O68" s="6" t="n">
        <v>300</v>
      </c>
      <c r="P68" s="6" t="n">
        <v>300</v>
      </c>
      <c r="Q68" s="6" t="n">
        <v>300</v>
      </c>
      <c r="R68" s="6" t="n">
        <v>300</v>
      </c>
      <c r="S68" s="6" t="n">
        <v>300</v>
      </c>
      <c r="T68" s="6" t="n">
        <v>300</v>
      </c>
      <c r="U68" s="6" t="n">
        <v>300</v>
      </c>
      <c r="V68" s="6" t="n">
        <v>300</v>
      </c>
      <c r="W68" s="6" t="n">
        <v>300</v>
      </c>
      <c r="X68" s="6" t="n">
        <v>300</v>
      </c>
      <c r="Y68" s="6" t="n">
        <v>300</v>
      </c>
      <c r="Z68" s="6" t="n">
        <v>300</v>
      </c>
      <c r="AA68" s="6" t="n">
        <v>300</v>
      </c>
      <c r="AB68" s="6" t="n">
        <v>300</v>
      </c>
      <c r="AC68" s="6" t="n">
        <v>300</v>
      </c>
      <c r="AD68" s="6" t="n">
        <v>300</v>
      </c>
      <c r="AE68" s="6" t="n">
        <v>300</v>
      </c>
      <c r="AF68" s="6" t="n">
        <v>300</v>
      </c>
      <c r="AG68" s="6" t="n">
        <v>300</v>
      </c>
      <c r="AH68" s="6" t="n">
        <v>300</v>
      </c>
    </row>
    <row r="69" hidden="1" outlineLevel="3" collapsed="1">
      <c r="A69" s="12" t="inlineStr">
        <is>
          <t>6303 - Cleaning services</t>
        </is>
      </c>
      <c r="B69" s="6" t="n">
        <v>250</v>
      </c>
      <c r="C69" s="6" t="n">
        <v>250</v>
      </c>
      <c r="D69" s="6" t="n">
        <v>250</v>
      </c>
      <c r="E69" s="6" t="n">
        <v>250</v>
      </c>
      <c r="F69" s="6" t="n">
        <v>250</v>
      </c>
      <c r="G69" s="6" t="n">
        <v>250</v>
      </c>
      <c r="H69" s="6" t="n">
        <v>250</v>
      </c>
      <c r="I69" s="6" t="n">
        <v>250</v>
      </c>
      <c r="J69" s="6" t="n">
        <v>250</v>
      </c>
      <c r="K69" s="6" t="n">
        <v>250</v>
      </c>
      <c r="L69" s="6" t="n">
        <v>250</v>
      </c>
      <c r="M69" s="6" t="n">
        <v>250</v>
      </c>
      <c r="N69" s="6" t="n">
        <v>250</v>
      </c>
      <c r="O69" s="6" t="n">
        <v>250</v>
      </c>
      <c r="P69" s="6" t="n">
        <v>250</v>
      </c>
      <c r="Q69" s="6" t="n">
        <v>250</v>
      </c>
      <c r="R69" s="6" t="n">
        <v>250</v>
      </c>
      <c r="S69" s="6" t="n">
        <v>250</v>
      </c>
      <c r="T69" s="6" t="n">
        <v>250</v>
      </c>
      <c r="U69" s="6" t="n">
        <v>250</v>
      </c>
      <c r="V69" s="6" t="n">
        <v>250</v>
      </c>
      <c r="W69" s="6" t="n">
        <v>250</v>
      </c>
      <c r="X69" s="6" t="n">
        <v>250</v>
      </c>
      <c r="Y69" s="6" t="n">
        <v>250</v>
      </c>
      <c r="Z69" s="6" t="n">
        <v>250</v>
      </c>
      <c r="AA69" s="6" t="n">
        <v>250</v>
      </c>
      <c r="AB69" s="6" t="n">
        <v>250</v>
      </c>
      <c r="AC69" s="6" t="n">
        <v>250</v>
      </c>
      <c r="AD69" s="6" t="n">
        <v>250</v>
      </c>
      <c r="AE69" s="6" t="n">
        <v>250</v>
      </c>
      <c r="AF69" s="6" t="n">
        <v>250</v>
      </c>
      <c r="AG69" s="6" t="n">
        <v>250</v>
      </c>
      <c r="AH69" s="6" t="n">
        <v>250</v>
      </c>
    </row>
    <row r="70" hidden="1" outlineLevel="1" collapsed="1">
      <c r="A70" s="10" t="inlineStr">
        <is>
          <t>Professional fees</t>
        </is>
      </c>
      <c r="B70" s="6" t="n">
        <v>2200</v>
      </c>
      <c r="C70" s="6" t="n">
        <v>2200</v>
      </c>
      <c r="D70" s="6" t="n">
        <v>2200</v>
      </c>
      <c r="E70" s="6" t="n">
        <v>2200</v>
      </c>
      <c r="F70" s="6" t="n">
        <v>2200</v>
      </c>
      <c r="G70" s="6" t="n">
        <v>2200</v>
      </c>
      <c r="H70" s="6" t="n">
        <v>2200</v>
      </c>
      <c r="I70" s="6" t="n">
        <v>2200</v>
      </c>
      <c r="J70" s="6" t="n">
        <v>2200</v>
      </c>
      <c r="K70" s="6" t="n">
        <v>2200</v>
      </c>
      <c r="L70" s="6" t="n">
        <v>2200</v>
      </c>
      <c r="M70" s="6" t="n">
        <v>2200</v>
      </c>
      <c r="N70" s="6" t="n">
        <v>2200</v>
      </c>
      <c r="O70" s="6" t="n">
        <v>2200</v>
      </c>
      <c r="P70" s="6" t="n">
        <v>2200</v>
      </c>
      <c r="Q70" s="6" t="n">
        <v>2200</v>
      </c>
      <c r="R70" s="6" t="n">
        <v>2200</v>
      </c>
      <c r="S70" s="6" t="n">
        <v>21000</v>
      </c>
      <c r="T70" s="6" t="n">
        <v>2200</v>
      </c>
      <c r="U70" s="6" t="n">
        <v>2200</v>
      </c>
      <c r="V70" s="6" t="n">
        <v>2200</v>
      </c>
      <c r="W70" s="6" t="n">
        <v>2200</v>
      </c>
      <c r="X70" s="6" t="n">
        <v>2200</v>
      </c>
      <c r="Y70" s="6" t="n">
        <v>2200</v>
      </c>
      <c r="Z70" s="6" t="n">
        <v>2200</v>
      </c>
      <c r="AA70" s="6" t="n">
        <v>2200</v>
      </c>
      <c r="AB70" s="6" t="n">
        <v>2200</v>
      </c>
      <c r="AC70" s="6" t="n">
        <v>2200</v>
      </c>
      <c r="AD70" s="6" t="n">
        <v>2200</v>
      </c>
      <c r="AE70" s="6" t="n">
        <v>2200</v>
      </c>
      <c r="AF70" s="6" t="n">
        <v>2200</v>
      </c>
      <c r="AG70" s="6" t="n">
        <v>2200</v>
      </c>
      <c r="AH70" s="6" t="n">
        <v>2200</v>
      </c>
    </row>
    <row r="71" hidden="1" outlineLevel="2" collapsed="1">
      <c r="A71" s="11" t="inlineStr">
        <is>
          <t>Accounting</t>
        </is>
      </c>
      <c r="B71" s="6" t="n">
        <v>1000</v>
      </c>
      <c r="C71" s="6" t="n">
        <v>1000</v>
      </c>
      <c r="D71" s="6" t="n">
        <v>1000</v>
      </c>
      <c r="E71" s="6" t="n">
        <v>1000</v>
      </c>
      <c r="F71" s="6" t="n">
        <v>1000</v>
      </c>
      <c r="G71" s="6" t="n">
        <v>1000</v>
      </c>
      <c r="H71" s="6" t="n">
        <v>1000</v>
      </c>
      <c r="I71" s="6" t="n">
        <v>1000</v>
      </c>
      <c r="J71" s="6" t="n">
        <v>1000</v>
      </c>
      <c r="K71" s="6" t="n">
        <v>1000</v>
      </c>
      <c r="L71" s="6" t="n">
        <v>1000</v>
      </c>
      <c r="M71" s="6" t="n">
        <v>1000</v>
      </c>
      <c r="N71" s="6" t="n">
        <v>1000</v>
      </c>
      <c r="O71" s="6" t="n">
        <v>1000</v>
      </c>
      <c r="P71" s="6" t="n">
        <v>1000</v>
      </c>
      <c r="Q71" s="6" t="n">
        <v>1000</v>
      </c>
      <c r="R71" s="6" t="n">
        <v>1000</v>
      </c>
      <c r="S71" s="6" t="n">
        <v>1000</v>
      </c>
      <c r="T71" s="6" t="n">
        <v>1000</v>
      </c>
      <c r="U71" s="6" t="n">
        <v>1000</v>
      </c>
      <c r="V71" s="6" t="n">
        <v>1000</v>
      </c>
      <c r="W71" s="6" t="n">
        <v>1000</v>
      </c>
      <c r="X71" s="6" t="n">
        <v>1000</v>
      </c>
      <c r="Y71" s="6" t="n">
        <v>1000</v>
      </c>
      <c r="Z71" s="6" t="n">
        <v>1000</v>
      </c>
      <c r="AA71" s="6" t="n">
        <v>1000</v>
      </c>
      <c r="AB71" s="6" t="n">
        <v>1000</v>
      </c>
      <c r="AC71" s="6" t="n">
        <v>1000</v>
      </c>
      <c r="AD71" s="6" t="n">
        <v>1000</v>
      </c>
      <c r="AE71" s="6" t="n">
        <v>1000</v>
      </c>
      <c r="AF71" s="6" t="n">
        <v>1000</v>
      </c>
      <c r="AG71" s="6" t="n">
        <v>1000</v>
      </c>
      <c r="AH71" s="6" t="n">
        <v>1000</v>
      </c>
    </row>
    <row r="72" hidden="1" outlineLevel="3" collapsed="1">
      <c r="A72" s="12" t="inlineStr">
        <is>
          <t>6901 - Accounting costs</t>
        </is>
      </c>
      <c r="B72" s="6" t="n">
        <v>1000</v>
      </c>
      <c r="C72" s="6" t="n">
        <v>1000</v>
      </c>
      <c r="D72" s="6" t="n">
        <v>1000</v>
      </c>
      <c r="E72" s="6" t="n">
        <v>1000</v>
      </c>
      <c r="F72" s="6" t="n">
        <v>1000</v>
      </c>
      <c r="G72" s="6" t="n">
        <v>1000</v>
      </c>
      <c r="H72" s="6" t="n">
        <v>1000</v>
      </c>
      <c r="I72" s="6" t="n">
        <v>1000</v>
      </c>
      <c r="J72" s="6" t="n">
        <v>1000</v>
      </c>
      <c r="K72" s="6" t="n">
        <v>1000</v>
      </c>
      <c r="L72" s="6" t="n">
        <v>1000</v>
      </c>
      <c r="M72" s="6" t="n">
        <v>1000</v>
      </c>
      <c r="N72" s="6" t="n">
        <v>1000</v>
      </c>
      <c r="O72" s="6" t="n">
        <v>1000</v>
      </c>
      <c r="P72" s="6" t="n">
        <v>1000</v>
      </c>
      <c r="Q72" s="6" t="n">
        <v>1000</v>
      </c>
      <c r="R72" s="6" t="n">
        <v>1000</v>
      </c>
      <c r="S72" s="6" t="n">
        <v>1000</v>
      </c>
      <c r="T72" s="6" t="n">
        <v>1000</v>
      </c>
      <c r="U72" s="6" t="n">
        <v>1000</v>
      </c>
      <c r="V72" s="6" t="n">
        <v>1000</v>
      </c>
      <c r="W72" s="6" t="n">
        <v>1000</v>
      </c>
      <c r="X72" s="6" t="n">
        <v>1000</v>
      </c>
      <c r="Y72" s="6" t="n">
        <v>1000</v>
      </c>
      <c r="Z72" s="6" t="n">
        <v>1000</v>
      </c>
      <c r="AA72" s="6" t="n">
        <v>1000</v>
      </c>
      <c r="AB72" s="6" t="n">
        <v>1000</v>
      </c>
      <c r="AC72" s="6" t="n">
        <v>1000</v>
      </c>
      <c r="AD72" s="6" t="n">
        <v>1000</v>
      </c>
      <c r="AE72" s="6" t="n">
        <v>1000</v>
      </c>
      <c r="AF72" s="6" t="n">
        <v>1000</v>
      </c>
      <c r="AG72" s="6" t="n">
        <v>1000</v>
      </c>
      <c r="AH72" s="6" t="n">
        <v>1000</v>
      </c>
    </row>
    <row r="73" hidden="1" outlineLevel="2" collapsed="1">
      <c r="A73" s="11" t="inlineStr">
        <is>
          <t>Legal</t>
        </is>
      </c>
      <c r="B73" s="6" t="n">
        <v>1200</v>
      </c>
      <c r="C73" s="6" t="n">
        <v>1200</v>
      </c>
      <c r="D73" s="6" t="n">
        <v>1200</v>
      </c>
      <c r="E73" s="6" t="n">
        <v>1200</v>
      </c>
      <c r="F73" s="6" t="n">
        <v>1200</v>
      </c>
      <c r="G73" s="6" t="n">
        <v>1200</v>
      </c>
      <c r="H73" s="6" t="n">
        <v>1200</v>
      </c>
      <c r="I73" s="6" t="n">
        <v>1200</v>
      </c>
      <c r="J73" s="6" t="n">
        <v>1200</v>
      </c>
      <c r="K73" s="6" t="n">
        <v>1200</v>
      </c>
      <c r="L73" s="6" t="n">
        <v>1200</v>
      </c>
      <c r="M73" s="6" t="n">
        <v>1200</v>
      </c>
      <c r="N73" s="6" t="n">
        <v>1200</v>
      </c>
      <c r="O73" s="6" t="n">
        <v>1200</v>
      </c>
      <c r="P73" s="6" t="n">
        <v>1200</v>
      </c>
      <c r="Q73" s="6" t="n">
        <v>1200</v>
      </c>
      <c r="R73" s="6" t="n">
        <v>1200</v>
      </c>
      <c r="S73" s="6" t="n">
        <v>20000</v>
      </c>
      <c r="T73" s="6" t="n">
        <v>1200</v>
      </c>
      <c r="U73" s="6" t="n">
        <v>1200</v>
      </c>
      <c r="V73" s="6" t="n">
        <v>1200</v>
      </c>
      <c r="W73" s="6" t="n">
        <v>1200</v>
      </c>
      <c r="X73" s="6" t="n">
        <v>1200</v>
      </c>
      <c r="Y73" s="6" t="n">
        <v>1200</v>
      </c>
      <c r="Z73" s="6" t="n">
        <v>1200</v>
      </c>
      <c r="AA73" s="6" t="n">
        <v>1200</v>
      </c>
      <c r="AB73" s="6" t="n">
        <v>1200</v>
      </c>
      <c r="AC73" s="6" t="n">
        <v>1200</v>
      </c>
      <c r="AD73" s="6" t="n">
        <v>1200</v>
      </c>
      <c r="AE73" s="6" t="n">
        <v>1200</v>
      </c>
      <c r="AF73" s="6" t="n">
        <v>1200</v>
      </c>
      <c r="AG73" s="6" t="n">
        <v>1200</v>
      </c>
      <c r="AH73" s="6" t="n">
        <v>1200</v>
      </c>
    </row>
    <row r="74" hidden="1" outlineLevel="3" collapsed="1">
      <c r="A74" s="12" t="inlineStr">
        <is>
          <t>6900 - Legal costs</t>
        </is>
      </c>
      <c r="B74" s="6" t="n">
        <v>1200</v>
      </c>
      <c r="C74" s="6" t="n">
        <v>1200</v>
      </c>
      <c r="D74" s="6" t="n">
        <v>1200</v>
      </c>
      <c r="E74" s="6" t="n">
        <v>1200</v>
      </c>
      <c r="F74" s="6" t="n">
        <v>1200</v>
      </c>
      <c r="G74" s="6" t="n">
        <v>1200</v>
      </c>
      <c r="H74" s="6" t="n">
        <v>1200</v>
      </c>
      <c r="I74" s="6" t="n">
        <v>1200</v>
      </c>
      <c r="J74" s="6" t="n">
        <v>1200</v>
      </c>
      <c r="K74" s="6" t="n">
        <v>1200</v>
      </c>
      <c r="L74" s="6" t="n">
        <v>1200</v>
      </c>
      <c r="M74" s="6" t="n">
        <v>1200</v>
      </c>
      <c r="N74" s="6" t="n">
        <v>1200</v>
      </c>
      <c r="O74" s="6" t="n">
        <v>1200</v>
      </c>
      <c r="P74" s="6" t="n">
        <v>1200</v>
      </c>
      <c r="Q74" s="6" t="n">
        <v>1200</v>
      </c>
      <c r="R74" s="6" t="n">
        <v>1200</v>
      </c>
      <c r="S74" s="6" t="n">
        <v>20000</v>
      </c>
      <c r="T74" s="6" t="n">
        <v>1200</v>
      </c>
      <c r="U74" s="6" t="n">
        <v>1200</v>
      </c>
      <c r="V74" s="6" t="n">
        <v>1200</v>
      </c>
      <c r="W74" s="6" t="n">
        <v>1200</v>
      </c>
      <c r="X74" s="6" t="n">
        <v>1200</v>
      </c>
      <c r="Y74" s="6" t="n">
        <v>1200</v>
      </c>
      <c r="Z74" s="6" t="n">
        <v>1200</v>
      </c>
      <c r="AA74" s="6" t="n">
        <v>1200</v>
      </c>
      <c r="AB74" s="6" t="n">
        <v>1200</v>
      </c>
      <c r="AC74" s="6" t="n">
        <v>1200</v>
      </c>
      <c r="AD74" s="6" t="n">
        <v>1200</v>
      </c>
      <c r="AE74" s="6" t="n">
        <v>1200</v>
      </c>
      <c r="AF74" s="6" t="n">
        <v>1200</v>
      </c>
      <c r="AG74" s="6" t="n">
        <v>1200</v>
      </c>
      <c r="AH74" s="6" t="n">
        <v>1200</v>
      </c>
    </row>
    <row r="75" hidden="1" outlineLevel="1" collapsed="1">
      <c r="A75" s="10" t="inlineStr">
        <is>
          <t>Rent</t>
        </is>
      </c>
      <c r="B75" s="6" t="n">
        <v>3500</v>
      </c>
      <c r="C75" s="6" t="n">
        <v>3500</v>
      </c>
      <c r="D75" s="6" t="n">
        <v>3500</v>
      </c>
      <c r="E75" s="6" t="n">
        <v>3500</v>
      </c>
      <c r="F75" s="6" t="n">
        <v>3500</v>
      </c>
      <c r="G75" s="6" t="n">
        <v>3500</v>
      </c>
      <c r="H75" s="6" t="n">
        <v>3500</v>
      </c>
      <c r="I75" s="6" t="n">
        <v>3500</v>
      </c>
      <c r="J75" s="6" t="n">
        <v>3500</v>
      </c>
      <c r="K75" s="6" t="n">
        <v>3500</v>
      </c>
      <c r="L75" s="6" t="n">
        <v>3500</v>
      </c>
      <c r="M75" s="6" t="n">
        <v>3500</v>
      </c>
      <c r="N75" s="6" t="n">
        <v>3500</v>
      </c>
      <c r="O75" s="6" t="n">
        <v>3500</v>
      </c>
      <c r="P75" s="6" t="n">
        <v>3500</v>
      </c>
      <c r="Q75" s="6" t="n">
        <v>3500</v>
      </c>
      <c r="R75" s="6" t="n">
        <v>3500</v>
      </c>
      <c r="S75" s="6" t="n">
        <v>3500</v>
      </c>
      <c r="T75" s="6" t="n">
        <v>3500</v>
      </c>
      <c r="U75" s="6" t="n">
        <v>3500</v>
      </c>
      <c r="V75" s="6" t="n">
        <v>3500</v>
      </c>
      <c r="W75" s="6" t="n">
        <v>3500</v>
      </c>
      <c r="X75" s="6" t="n">
        <v>3500</v>
      </c>
      <c r="Y75" s="6" t="n">
        <v>3500</v>
      </c>
      <c r="Z75" s="6" t="n">
        <v>3500</v>
      </c>
      <c r="AA75" s="6" t="n">
        <v>3500</v>
      </c>
      <c r="AB75" s="6" t="n">
        <v>3500</v>
      </c>
      <c r="AC75" s="6" t="n">
        <v>3500</v>
      </c>
      <c r="AD75" s="6" t="n">
        <v>3500</v>
      </c>
      <c r="AE75" s="6" t="n">
        <v>3500</v>
      </c>
      <c r="AF75" s="6" t="n">
        <v>3500</v>
      </c>
      <c r="AG75" s="6" t="n">
        <v>3500</v>
      </c>
      <c r="AH75" s="6" t="n">
        <v>3500</v>
      </c>
    </row>
    <row r="76" hidden="1" outlineLevel="2" collapsed="1">
      <c r="A76" s="11" t="inlineStr"/>
      <c r="B76" s="6" t="n">
        <v>3500</v>
      </c>
      <c r="C76" s="6" t="n">
        <v>3500</v>
      </c>
      <c r="D76" s="6" t="n">
        <v>3500</v>
      </c>
      <c r="E76" s="6" t="n">
        <v>3500</v>
      </c>
      <c r="F76" s="6" t="n">
        <v>3500</v>
      </c>
      <c r="G76" s="6" t="n">
        <v>3500</v>
      </c>
      <c r="H76" s="6" t="n">
        <v>3500</v>
      </c>
      <c r="I76" s="6" t="n">
        <v>3500</v>
      </c>
      <c r="J76" s="6" t="n">
        <v>3500</v>
      </c>
      <c r="K76" s="6" t="n">
        <v>3500</v>
      </c>
      <c r="L76" s="6" t="n">
        <v>3500</v>
      </c>
      <c r="M76" s="6" t="n">
        <v>3500</v>
      </c>
      <c r="N76" s="6" t="n">
        <v>3500</v>
      </c>
      <c r="O76" s="6" t="n">
        <v>3500</v>
      </c>
      <c r="P76" s="6" t="n">
        <v>3500</v>
      </c>
      <c r="Q76" s="6" t="n">
        <v>3500</v>
      </c>
      <c r="R76" s="6" t="n">
        <v>3500</v>
      </c>
      <c r="S76" s="6" t="n">
        <v>3500</v>
      </c>
      <c r="T76" s="6" t="n">
        <v>3500</v>
      </c>
      <c r="U76" s="6" t="n">
        <v>3500</v>
      </c>
      <c r="V76" s="6" t="n">
        <v>3500</v>
      </c>
      <c r="W76" s="6" t="n">
        <v>3500</v>
      </c>
      <c r="X76" s="6" t="n">
        <v>3500</v>
      </c>
      <c r="Y76" s="6" t="n">
        <v>3500</v>
      </c>
      <c r="Z76" s="6" t="n">
        <v>3500</v>
      </c>
      <c r="AA76" s="6" t="n">
        <v>3500</v>
      </c>
      <c r="AB76" s="6" t="n">
        <v>3500</v>
      </c>
      <c r="AC76" s="6" t="n">
        <v>3500</v>
      </c>
      <c r="AD76" s="6" t="n">
        <v>3500</v>
      </c>
      <c r="AE76" s="6" t="n">
        <v>3500</v>
      </c>
      <c r="AF76" s="6" t="n">
        <v>3500</v>
      </c>
      <c r="AG76" s="6" t="n">
        <v>3500</v>
      </c>
      <c r="AH76" s="6" t="n">
        <v>3500</v>
      </c>
    </row>
    <row r="77" hidden="1" outlineLevel="3" collapsed="1">
      <c r="A77" s="12" t="inlineStr">
        <is>
          <t>6210 - Rent</t>
        </is>
      </c>
      <c r="B77" s="6" t="n">
        <v>3500</v>
      </c>
      <c r="C77" s="6" t="n">
        <v>3500</v>
      </c>
      <c r="D77" s="6" t="n">
        <v>3500</v>
      </c>
      <c r="E77" s="6" t="n">
        <v>3500</v>
      </c>
      <c r="F77" s="6" t="n">
        <v>3500</v>
      </c>
      <c r="G77" s="6" t="n">
        <v>3500</v>
      </c>
      <c r="H77" s="6" t="n">
        <v>3500</v>
      </c>
      <c r="I77" s="6" t="n">
        <v>3500</v>
      </c>
      <c r="J77" s="6" t="n">
        <v>3500</v>
      </c>
      <c r="K77" s="6" t="n">
        <v>3500</v>
      </c>
      <c r="L77" s="6" t="n">
        <v>3500</v>
      </c>
      <c r="M77" s="6" t="n">
        <v>3500</v>
      </c>
      <c r="N77" s="6" t="n">
        <v>3500</v>
      </c>
      <c r="O77" s="6" t="n">
        <v>3500</v>
      </c>
      <c r="P77" s="6" t="n">
        <v>3500</v>
      </c>
      <c r="Q77" s="6" t="n">
        <v>3500</v>
      </c>
      <c r="R77" s="6" t="n">
        <v>3500</v>
      </c>
      <c r="S77" s="6" t="n">
        <v>3500</v>
      </c>
      <c r="T77" s="6" t="n">
        <v>3500</v>
      </c>
      <c r="U77" s="6" t="n">
        <v>3500</v>
      </c>
      <c r="V77" s="6" t="n">
        <v>3500</v>
      </c>
      <c r="W77" s="6" t="n">
        <v>3500</v>
      </c>
      <c r="X77" s="6" t="n">
        <v>3500</v>
      </c>
      <c r="Y77" s="6" t="n">
        <v>3500</v>
      </c>
      <c r="Z77" s="6" t="n">
        <v>3500</v>
      </c>
      <c r="AA77" s="6" t="n">
        <v>3500</v>
      </c>
      <c r="AB77" s="6" t="n">
        <v>3500</v>
      </c>
      <c r="AC77" s="6" t="n">
        <v>3500</v>
      </c>
      <c r="AD77" s="6" t="n">
        <v>3500</v>
      </c>
      <c r="AE77" s="6" t="n">
        <v>3500</v>
      </c>
      <c r="AF77" s="6" t="n">
        <v>3500</v>
      </c>
      <c r="AG77" s="6" t="n">
        <v>3500</v>
      </c>
      <c r="AH77" s="6" t="n">
        <v>3500</v>
      </c>
    </row>
    <row r="78" hidden="1" outlineLevel="1" collapsed="1">
      <c r="A78" s="10" t="inlineStr">
        <is>
          <t>Salaries and wages</t>
        </is>
      </c>
      <c r="B78" s="6" t="n">
        <v>25000</v>
      </c>
      <c r="C78" s="6" t="n">
        <v>25000</v>
      </c>
      <c r="D78" s="6" t="n">
        <v>25000</v>
      </c>
      <c r="E78" s="6" t="n">
        <v>25000</v>
      </c>
      <c r="F78" s="6" t="n">
        <v>25000</v>
      </c>
      <c r="G78" s="6" t="n">
        <v>25000</v>
      </c>
      <c r="H78" s="6" t="n">
        <v>25000</v>
      </c>
      <c r="I78" s="6" t="n">
        <v>25000</v>
      </c>
      <c r="J78" s="6" t="n">
        <v>25000</v>
      </c>
      <c r="K78" s="6" t="n">
        <v>25000</v>
      </c>
      <c r="L78" s="6" t="n">
        <v>25000</v>
      </c>
      <c r="M78" s="6" t="n">
        <v>25000</v>
      </c>
      <c r="N78" s="6" t="n">
        <v>25000</v>
      </c>
      <c r="O78" s="6" t="n">
        <v>25000</v>
      </c>
      <c r="P78" s="6" t="n">
        <v>25000</v>
      </c>
      <c r="Q78" s="6" t="n">
        <v>25000</v>
      </c>
      <c r="R78" s="6" t="n">
        <v>25000</v>
      </c>
      <c r="S78" s="6" t="n">
        <v>25000</v>
      </c>
      <c r="T78" s="6" t="n">
        <v>25000</v>
      </c>
      <c r="U78" s="6" t="n">
        <v>25000</v>
      </c>
      <c r="V78" s="6" t="n">
        <v>25000</v>
      </c>
      <c r="W78" s="6" t="n">
        <v>25000</v>
      </c>
      <c r="X78" s="6" t="n">
        <v>25000</v>
      </c>
      <c r="Y78" s="6" t="n">
        <v>25000</v>
      </c>
      <c r="Z78" s="6" t="n">
        <v>25000</v>
      </c>
      <c r="AA78" s="6" t="n">
        <v>25000</v>
      </c>
      <c r="AB78" s="6" t="n">
        <v>25000</v>
      </c>
      <c r="AC78" s="6" t="n">
        <v>25000</v>
      </c>
      <c r="AD78" s="6" t="n">
        <v>25000</v>
      </c>
      <c r="AE78" s="6" t="n">
        <v>25000</v>
      </c>
      <c r="AF78" s="6" t="n">
        <v>25000</v>
      </c>
      <c r="AG78" s="6" t="n">
        <v>25000</v>
      </c>
      <c r="AH78" s="6" t="n">
        <v>25000</v>
      </c>
    </row>
    <row r="79" hidden="1" outlineLevel="2" collapsed="1">
      <c r="A79" s="11" t="inlineStr"/>
      <c r="B79" s="6" t="n">
        <v>25000</v>
      </c>
      <c r="C79" s="6" t="n">
        <v>25000</v>
      </c>
      <c r="D79" s="6" t="n">
        <v>25000</v>
      </c>
      <c r="E79" s="6" t="n">
        <v>25000</v>
      </c>
      <c r="F79" s="6" t="n">
        <v>25000</v>
      </c>
      <c r="G79" s="6" t="n">
        <v>25000</v>
      </c>
      <c r="H79" s="6" t="n">
        <v>25000</v>
      </c>
      <c r="I79" s="6" t="n">
        <v>25000</v>
      </c>
      <c r="J79" s="6" t="n">
        <v>25000</v>
      </c>
      <c r="K79" s="6" t="n">
        <v>25000</v>
      </c>
      <c r="L79" s="6" t="n">
        <v>25000</v>
      </c>
      <c r="M79" s="6" t="n">
        <v>25000</v>
      </c>
      <c r="N79" s="6" t="n">
        <v>25000</v>
      </c>
      <c r="O79" s="6" t="n">
        <v>25000</v>
      </c>
      <c r="P79" s="6" t="n">
        <v>25000</v>
      </c>
      <c r="Q79" s="6" t="n">
        <v>25000</v>
      </c>
      <c r="R79" s="6" t="n">
        <v>25000</v>
      </c>
      <c r="S79" s="6" t="n">
        <v>25000</v>
      </c>
      <c r="T79" s="6" t="n">
        <v>25000</v>
      </c>
      <c r="U79" s="6" t="n">
        <v>25000</v>
      </c>
      <c r="V79" s="6" t="n">
        <v>25000</v>
      </c>
      <c r="W79" s="6" t="n">
        <v>25000</v>
      </c>
      <c r="X79" s="6" t="n">
        <v>25000</v>
      </c>
      <c r="Y79" s="6" t="n">
        <v>25000</v>
      </c>
      <c r="Z79" s="6" t="n">
        <v>25000</v>
      </c>
      <c r="AA79" s="6" t="n">
        <v>25000</v>
      </c>
      <c r="AB79" s="6" t="n">
        <v>25000</v>
      </c>
      <c r="AC79" s="6" t="n">
        <v>25000</v>
      </c>
      <c r="AD79" s="6" t="n">
        <v>25000</v>
      </c>
      <c r="AE79" s="6" t="n">
        <v>25000</v>
      </c>
      <c r="AF79" s="6" t="n">
        <v>25000</v>
      </c>
      <c r="AG79" s="6" t="n">
        <v>25000</v>
      </c>
      <c r="AH79" s="6" t="n">
        <v>25000</v>
      </c>
    </row>
    <row r="80" hidden="1" outlineLevel="3" collapsed="1">
      <c r="A80" s="12" t="inlineStr">
        <is>
          <t>6411 - Admin salaries</t>
        </is>
      </c>
      <c r="B80" s="6" t="n">
        <v>10000</v>
      </c>
      <c r="C80" s="6" t="n">
        <v>10000</v>
      </c>
      <c r="D80" s="6" t="n">
        <v>10000</v>
      </c>
      <c r="E80" s="6" t="n">
        <v>10000</v>
      </c>
      <c r="F80" s="6" t="n">
        <v>10000</v>
      </c>
      <c r="G80" s="6" t="n">
        <v>10000</v>
      </c>
      <c r="H80" s="6" t="n">
        <v>10000</v>
      </c>
      <c r="I80" s="6" t="n">
        <v>10000</v>
      </c>
      <c r="J80" s="6" t="n">
        <v>10000</v>
      </c>
      <c r="K80" s="6" t="n">
        <v>10000</v>
      </c>
      <c r="L80" s="6" t="n">
        <v>10000</v>
      </c>
      <c r="M80" s="6" t="n">
        <v>10000</v>
      </c>
      <c r="N80" s="6" t="n">
        <v>10000</v>
      </c>
      <c r="O80" s="6" t="n">
        <v>10000</v>
      </c>
      <c r="P80" s="6" t="n">
        <v>10000</v>
      </c>
      <c r="Q80" s="6" t="n">
        <v>10000</v>
      </c>
      <c r="R80" s="6" t="n">
        <v>10000</v>
      </c>
      <c r="S80" s="6" t="n">
        <v>10000</v>
      </c>
      <c r="T80" s="6" t="n">
        <v>10000</v>
      </c>
      <c r="U80" s="6" t="n">
        <v>10000</v>
      </c>
      <c r="V80" s="6" t="n">
        <v>10000</v>
      </c>
      <c r="W80" s="6" t="n">
        <v>10000</v>
      </c>
      <c r="X80" s="6" t="n">
        <v>10000</v>
      </c>
      <c r="Y80" s="6" t="n">
        <v>10000</v>
      </c>
      <c r="Z80" s="6" t="n">
        <v>10000</v>
      </c>
      <c r="AA80" s="6" t="n">
        <v>10000</v>
      </c>
      <c r="AB80" s="6" t="n">
        <v>10000</v>
      </c>
      <c r="AC80" s="6" t="n">
        <v>10000</v>
      </c>
      <c r="AD80" s="6" t="n">
        <v>10000</v>
      </c>
      <c r="AE80" s="6" t="n">
        <v>10000</v>
      </c>
      <c r="AF80" s="6" t="n">
        <v>10000</v>
      </c>
      <c r="AG80" s="6" t="n">
        <v>10000</v>
      </c>
      <c r="AH80" s="6" t="n">
        <v>10000</v>
      </c>
    </row>
    <row r="81" hidden="1" outlineLevel="3" collapsed="1">
      <c r="A81" s="12" t="inlineStr">
        <is>
          <t>6412 - Sales salaries</t>
        </is>
      </c>
      <c r="B81" s="6" t="n">
        <v>15000</v>
      </c>
      <c r="C81" s="6" t="n">
        <v>15000</v>
      </c>
      <c r="D81" s="6" t="n">
        <v>15000</v>
      </c>
      <c r="E81" s="6" t="n">
        <v>15000</v>
      </c>
      <c r="F81" s="6" t="n">
        <v>15000</v>
      </c>
      <c r="G81" s="6" t="n">
        <v>15000</v>
      </c>
      <c r="H81" s="6" t="n">
        <v>15000</v>
      </c>
      <c r="I81" s="6" t="n">
        <v>15000</v>
      </c>
      <c r="J81" s="6" t="n">
        <v>15000</v>
      </c>
      <c r="K81" s="6" t="n">
        <v>15000</v>
      </c>
      <c r="L81" s="6" t="n">
        <v>15000</v>
      </c>
      <c r="M81" s="6" t="n">
        <v>15000</v>
      </c>
      <c r="N81" s="6" t="n">
        <v>15000</v>
      </c>
      <c r="O81" s="6" t="n">
        <v>15000</v>
      </c>
      <c r="P81" s="6" t="n">
        <v>15000</v>
      </c>
      <c r="Q81" s="6" t="n">
        <v>15000</v>
      </c>
      <c r="R81" s="6" t="n">
        <v>15000</v>
      </c>
      <c r="S81" s="6" t="n">
        <v>15000</v>
      </c>
      <c r="T81" s="6" t="n">
        <v>15000</v>
      </c>
      <c r="U81" s="6" t="n">
        <v>15000</v>
      </c>
      <c r="V81" s="6" t="n">
        <v>15000</v>
      </c>
      <c r="W81" s="6" t="n">
        <v>15000</v>
      </c>
      <c r="X81" s="6" t="n">
        <v>15000</v>
      </c>
      <c r="Y81" s="6" t="n">
        <v>15000</v>
      </c>
      <c r="Z81" s="6" t="n">
        <v>15000</v>
      </c>
      <c r="AA81" s="6" t="n">
        <v>15000</v>
      </c>
      <c r="AB81" s="6" t="n">
        <v>15000</v>
      </c>
      <c r="AC81" s="6" t="n">
        <v>15000</v>
      </c>
      <c r="AD81" s="6" t="n">
        <v>15000</v>
      </c>
      <c r="AE81" s="6" t="n">
        <v>15000</v>
      </c>
      <c r="AF81" s="6" t="n">
        <v>15000</v>
      </c>
      <c r="AG81" s="6" t="n">
        <v>15000</v>
      </c>
      <c r="AH81" s="6" t="n">
        <v>15000</v>
      </c>
    </row>
    <row r="82" hidden="1" outlineLevel="1" collapsed="1">
      <c r="A82" s="10" t="inlineStr">
        <is>
          <t>Telephone and internet</t>
        </is>
      </c>
      <c r="B82" s="6" t="n">
        <v>300</v>
      </c>
      <c r="C82" s="6" t="n">
        <v>300</v>
      </c>
      <c r="D82" s="6" t="n">
        <v>300</v>
      </c>
      <c r="E82" s="6" t="n">
        <v>300</v>
      </c>
      <c r="F82" s="6" t="n">
        <v>300</v>
      </c>
      <c r="G82" s="6" t="n">
        <v>300</v>
      </c>
      <c r="H82" s="6" t="n">
        <v>300</v>
      </c>
      <c r="I82" s="6" t="n">
        <v>300</v>
      </c>
      <c r="J82" s="6" t="n">
        <v>300</v>
      </c>
      <c r="K82" s="6" t="n">
        <v>300</v>
      </c>
      <c r="L82" s="6" t="n">
        <v>300</v>
      </c>
      <c r="M82" s="6" t="n">
        <v>300</v>
      </c>
      <c r="N82" s="6" t="n">
        <v>300</v>
      </c>
      <c r="O82" s="6" t="n">
        <v>300</v>
      </c>
      <c r="P82" s="6" t="n">
        <v>300</v>
      </c>
      <c r="Q82" s="6" t="n">
        <v>300</v>
      </c>
      <c r="R82" s="6" t="n">
        <v>300</v>
      </c>
      <c r="S82" s="6" t="n">
        <v>300</v>
      </c>
      <c r="T82" s="6" t="n">
        <v>300</v>
      </c>
      <c r="U82" s="6" t="n">
        <v>300</v>
      </c>
      <c r="V82" s="6" t="n">
        <v>300</v>
      </c>
      <c r="W82" s="6" t="n">
        <v>300</v>
      </c>
      <c r="X82" s="6" t="n">
        <v>300</v>
      </c>
      <c r="Y82" s="6" t="n">
        <v>300</v>
      </c>
      <c r="Z82" s="6" t="n">
        <v>300</v>
      </c>
      <c r="AA82" s="6" t="n">
        <v>300</v>
      </c>
      <c r="AB82" s="6" t="n">
        <v>300</v>
      </c>
      <c r="AC82" s="6" t="n">
        <v>300</v>
      </c>
      <c r="AD82" s="6" t="n">
        <v>300</v>
      </c>
      <c r="AE82" s="6" t="n">
        <v>300</v>
      </c>
      <c r="AF82" s="6" t="n">
        <v>300</v>
      </c>
      <c r="AG82" s="6" t="n">
        <v>300</v>
      </c>
      <c r="AH82" s="6" t="n">
        <v>300</v>
      </c>
    </row>
    <row r="83" hidden="1" outlineLevel="2" collapsed="1">
      <c r="A83" s="11" t="inlineStr"/>
      <c r="B83" s="6" t="n">
        <v>300</v>
      </c>
      <c r="C83" s="6" t="n">
        <v>300</v>
      </c>
      <c r="D83" s="6" t="n">
        <v>300</v>
      </c>
      <c r="E83" s="6" t="n">
        <v>300</v>
      </c>
      <c r="F83" s="6" t="n">
        <v>300</v>
      </c>
      <c r="G83" s="6" t="n">
        <v>300</v>
      </c>
      <c r="H83" s="6" t="n">
        <v>300</v>
      </c>
      <c r="I83" s="6" t="n">
        <v>300</v>
      </c>
      <c r="J83" s="6" t="n">
        <v>300</v>
      </c>
      <c r="K83" s="6" t="n">
        <v>300</v>
      </c>
      <c r="L83" s="6" t="n">
        <v>300</v>
      </c>
      <c r="M83" s="6" t="n">
        <v>300</v>
      </c>
      <c r="N83" s="6" t="n">
        <v>300</v>
      </c>
      <c r="O83" s="6" t="n">
        <v>300</v>
      </c>
      <c r="P83" s="6" t="n">
        <v>300</v>
      </c>
      <c r="Q83" s="6" t="n">
        <v>300</v>
      </c>
      <c r="R83" s="6" t="n">
        <v>300</v>
      </c>
      <c r="S83" s="6" t="n">
        <v>300</v>
      </c>
      <c r="T83" s="6" t="n">
        <v>300</v>
      </c>
      <c r="U83" s="6" t="n">
        <v>300</v>
      </c>
      <c r="V83" s="6" t="n">
        <v>300</v>
      </c>
      <c r="W83" s="6" t="n">
        <v>300</v>
      </c>
      <c r="X83" s="6" t="n">
        <v>300</v>
      </c>
      <c r="Y83" s="6" t="n">
        <v>300</v>
      </c>
      <c r="Z83" s="6" t="n">
        <v>300</v>
      </c>
      <c r="AA83" s="6" t="n">
        <v>300</v>
      </c>
      <c r="AB83" s="6" t="n">
        <v>300</v>
      </c>
      <c r="AC83" s="6" t="n">
        <v>300</v>
      </c>
      <c r="AD83" s="6" t="n">
        <v>300</v>
      </c>
      <c r="AE83" s="6" t="n">
        <v>300</v>
      </c>
      <c r="AF83" s="6" t="n">
        <v>300</v>
      </c>
      <c r="AG83" s="6" t="n">
        <v>300</v>
      </c>
      <c r="AH83" s="6" t="n">
        <v>300</v>
      </c>
    </row>
    <row r="84" hidden="1" outlineLevel="3" collapsed="1">
      <c r="A84" s="12" t="inlineStr">
        <is>
          <t>6600 - Telephone expenses</t>
        </is>
      </c>
      <c r="B84" s="6" t="n">
        <v>100</v>
      </c>
      <c r="C84" s="6" t="n">
        <v>100</v>
      </c>
      <c r="D84" s="6" t="n">
        <v>100</v>
      </c>
      <c r="E84" s="6" t="n">
        <v>100</v>
      </c>
      <c r="F84" s="6" t="n">
        <v>100</v>
      </c>
      <c r="G84" s="6" t="n">
        <v>100</v>
      </c>
      <c r="H84" s="6" t="n">
        <v>100</v>
      </c>
      <c r="I84" s="6" t="n">
        <v>100</v>
      </c>
      <c r="J84" s="6" t="n">
        <v>100</v>
      </c>
      <c r="K84" s="6" t="n">
        <v>100</v>
      </c>
      <c r="L84" s="6" t="n">
        <v>100</v>
      </c>
      <c r="M84" s="6" t="n">
        <v>100</v>
      </c>
      <c r="N84" s="6" t="n">
        <v>100</v>
      </c>
      <c r="O84" s="6" t="n">
        <v>100</v>
      </c>
      <c r="P84" s="6" t="n">
        <v>100</v>
      </c>
      <c r="Q84" s="6" t="n">
        <v>100</v>
      </c>
      <c r="R84" s="6" t="n">
        <v>100</v>
      </c>
      <c r="S84" s="6" t="n">
        <v>100</v>
      </c>
      <c r="T84" s="6" t="n">
        <v>100</v>
      </c>
      <c r="U84" s="6" t="n">
        <v>100</v>
      </c>
      <c r="V84" s="6" t="n">
        <v>100</v>
      </c>
      <c r="W84" s="6" t="n">
        <v>100</v>
      </c>
      <c r="X84" s="6" t="n">
        <v>100</v>
      </c>
      <c r="Y84" s="6" t="n">
        <v>100</v>
      </c>
      <c r="Z84" s="6" t="n">
        <v>100</v>
      </c>
      <c r="AA84" s="6" t="n">
        <v>100</v>
      </c>
      <c r="AB84" s="6" t="n">
        <v>100</v>
      </c>
      <c r="AC84" s="6" t="n">
        <v>100</v>
      </c>
      <c r="AD84" s="6" t="n">
        <v>100</v>
      </c>
      <c r="AE84" s="6" t="n">
        <v>100</v>
      </c>
      <c r="AF84" s="6" t="n">
        <v>100</v>
      </c>
      <c r="AG84" s="6" t="n">
        <v>100</v>
      </c>
      <c r="AH84" s="6" t="n">
        <v>100</v>
      </c>
    </row>
    <row r="85" hidden="1" outlineLevel="3" collapsed="1">
      <c r="A85" s="12" t="inlineStr">
        <is>
          <t>6601 - Internet expenses</t>
        </is>
      </c>
      <c r="B85" s="6" t="n">
        <v>200</v>
      </c>
      <c r="C85" s="6" t="n">
        <v>200</v>
      </c>
      <c r="D85" s="6" t="n">
        <v>200</v>
      </c>
      <c r="E85" s="6" t="n">
        <v>200</v>
      </c>
      <c r="F85" s="6" t="n">
        <v>200</v>
      </c>
      <c r="G85" s="6" t="n">
        <v>200</v>
      </c>
      <c r="H85" s="6" t="n">
        <v>200</v>
      </c>
      <c r="I85" s="6" t="n">
        <v>200</v>
      </c>
      <c r="J85" s="6" t="n">
        <v>200</v>
      </c>
      <c r="K85" s="6" t="n">
        <v>200</v>
      </c>
      <c r="L85" s="6" t="n">
        <v>200</v>
      </c>
      <c r="M85" s="6" t="n">
        <v>200</v>
      </c>
      <c r="N85" s="6" t="n">
        <v>200</v>
      </c>
      <c r="O85" s="6" t="n">
        <v>200</v>
      </c>
      <c r="P85" s="6" t="n">
        <v>200</v>
      </c>
      <c r="Q85" s="6" t="n">
        <v>200</v>
      </c>
      <c r="R85" s="6" t="n">
        <v>200</v>
      </c>
      <c r="S85" s="6" t="n">
        <v>200</v>
      </c>
      <c r="T85" s="6" t="n">
        <v>200</v>
      </c>
      <c r="U85" s="6" t="n">
        <v>200</v>
      </c>
      <c r="V85" s="6" t="n">
        <v>200</v>
      </c>
      <c r="W85" s="6" t="n">
        <v>200</v>
      </c>
      <c r="X85" s="6" t="n">
        <v>200</v>
      </c>
      <c r="Y85" s="6" t="n">
        <v>200</v>
      </c>
      <c r="Z85" s="6" t="n">
        <v>200</v>
      </c>
      <c r="AA85" s="6" t="n">
        <v>200</v>
      </c>
      <c r="AB85" s="6" t="n">
        <v>200</v>
      </c>
      <c r="AC85" s="6" t="n">
        <v>200</v>
      </c>
      <c r="AD85" s="6" t="n">
        <v>200</v>
      </c>
      <c r="AE85" s="6" t="n">
        <v>200</v>
      </c>
      <c r="AF85" s="6" t="n">
        <v>200</v>
      </c>
      <c r="AG85" s="6" t="n">
        <v>200</v>
      </c>
      <c r="AH85" s="6" t="n">
        <v>200</v>
      </c>
    </row>
    <row r="86" hidden="1" outlineLevel="1" collapsed="1">
      <c r="A86" s="10" t="inlineStr">
        <is>
          <t>Travel expenses</t>
        </is>
      </c>
      <c r="B86" s="6" t="n">
        <v>300</v>
      </c>
      <c r="C86" s="6" t="n">
        <v>300</v>
      </c>
      <c r="D86" s="6" t="n">
        <v>300</v>
      </c>
      <c r="E86" s="6" t="n">
        <v>300</v>
      </c>
      <c r="F86" s="6" t="n">
        <v>300</v>
      </c>
      <c r="G86" s="6" t="n">
        <v>300</v>
      </c>
      <c r="H86" s="6" t="n">
        <v>300</v>
      </c>
      <c r="I86" s="6" t="n">
        <v>300</v>
      </c>
      <c r="J86" s="6" t="n">
        <v>300</v>
      </c>
      <c r="K86" s="6" t="n">
        <v>300</v>
      </c>
      <c r="L86" s="6" t="n">
        <v>300</v>
      </c>
      <c r="M86" s="6" t="n">
        <v>300</v>
      </c>
      <c r="N86" s="6" t="n">
        <v>300</v>
      </c>
      <c r="O86" s="6" t="n">
        <v>300</v>
      </c>
      <c r="P86" s="6" t="n">
        <v>300</v>
      </c>
      <c r="Q86" s="6" t="n">
        <v>300</v>
      </c>
      <c r="R86" s="6" t="n">
        <v>300</v>
      </c>
      <c r="S86" s="6" t="n">
        <v>300</v>
      </c>
      <c r="T86" s="6" t="n">
        <v>300</v>
      </c>
      <c r="U86" s="6" t="n">
        <v>300</v>
      </c>
      <c r="V86" s="6" t="n">
        <v>300</v>
      </c>
      <c r="W86" s="6" t="n">
        <v>300</v>
      </c>
      <c r="X86" s="6" t="n">
        <v>300</v>
      </c>
      <c r="Y86" s="6" t="n">
        <v>300</v>
      </c>
      <c r="Z86" s="6" t="n">
        <v>300</v>
      </c>
      <c r="AA86" s="6" t="n">
        <v>300</v>
      </c>
      <c r="AB86" s="6" t="n">
        <v>300</v>
      </c>
      <c r="AC86" s="6" t="n">
        <v>300</v>
      </c>
      <c r="AD86" s="6" t="n">
        <v>300</v>
      </c>
      <c r="AE86" s="6" t="n">
        <v>300</v>
      </c>
      <c r="AF86" s="6" t="n">
        <v>300</v>
      </c>
      <c r="AG86" s="6" t="n">
        <v>300</v>
      </c>
      <c r="AH86" s="6" t="n">
        <v>300</v>
      </c>
    </row>
    <row r="87" hidden="1" outlineLevel="2" collapsed="1">
      <c r="A87" s="11" t="inlineStr"/>
      <c r="B87" s="6" t="n">
        <v>300</v>
      </c>
      <c r="C87" s="6" t="n">
        <v>300</v>
      </c>
      <c r="D87" s="6" t="n">
        <v>300</v>
      </c>
      <c r="E87" s="6" t="n">
        <v>300</v>
      </c>
      <c r="F87" s="6" t="n">
        <v>300</v>
      </c>
      <c r="G87" s="6" t="n">
        <v>300</v>
      </c>
      <c r="H87" s="6" t="n">
        <v>300</v>
      </c>
      <c r="I87" s="6" t="n">
        <v>300</v>
      </c>
      <c r="J87" s="6" t="n">
        <v>300</v>
      </c>
      <c r="K87" s="6" t="n">
        <v>300</v>
      </c>
      <c r="L87" s="6" t="n">
        <v>300</v>
      </c>
      <c r="M87" s="6" t="n">
        <v>300</v>
      </c>
      <c r="N87" s="6" t="n">
        <v>300</v>
      </c>
      <c r="O87" s="6" t="n">
        <v>300</v>
      </c>
      <c r="P87" s="6" t="n">
        <v>300</v>
      </c>
      <c r="Q87" s="6" t="n">
        <v>300</v>
      </c>
      <c r="R87" s="6" t="n">
        <v>300</v>
      </c>
      <c r="S87" s="6" t="n">
        <v>300</v>
      </c>
      <c r="T87" s="6" t="n">
        <v>300</v>
      </c>
      <c r="U87" s="6" t="n">
        <v>300</v>
      </c>
      <c r="V87" s="6" t="n">
        <v>300</v>
      </c>
      <c r="W87" s="6" t="n">
        <v>300</v>
      </c>
      <c r="X87" s="6" t="n">
        <v>300</v>
      </c>
      <c r="Y87" s="6" t="n">
        <v>300</v>
      </c>
      <c r="Z87" s="6" t="n">
        <v>300</v>
      </c>
      <c r="AA87" s="6" t="n">
        <v>300</v>
      </c>
      <c r="AB87" s="6" t="n">
        <v>300</v>
      </c>
      <c r="AC87" s="6" t="n">
        <v>300</v>
      </c>
      <c r="AD87" s="6" t="n">
        <v>300</v>
      </c>
      <c r="AE87" s="6" t="n">
        <v>300</v>
      </c>
      <c r="AF87" s="6" t="n">
        <v>300</v>
      </c>
      <c r="AG87" s="6" t="n">
        <v>300</v>
      </c>
      <c r="AH87" s="6" t="n">
        <v>300</v>
      </c>
    </row>
    <row r="88" hidden="1" outlineLevel="3" collapsed="1">
      <c r="A88" s="12" t="inlineStr">
        <is>
          <t>6503 - Travel expenses</t>
        </is>
      </c>
      <c r="B88" s="6" t="n">
        <v>300</v>
      </c>
      <c r="C88" s="6" t="n">
        <v>300</v>
      </c>
      <c r="D88" s="6" t="n">
        <v>300</v>
      </c>
      <c r="E88" s="6" t="n">
        <v>300</v>
      </c>
      <c r="F88" s="6" t="n">
        <v>300</v>
      </c>
      <c r="G88" s="6" t="n">
        <v>300</v>
      </c>
      <c r="H88" s="6" t="n">
        <v>300</v>
      </c>
      <c r="I88" s="6" t="n">
        <v>300</v>
      </c>
      <c r="J88" s="6" t="n">
        <v>300</v>
      </c>
      <c r="K88" s="6" t="n">
        <v>300</v>
      </c>
      <c r="L88" s="6" t="n">
        <v>300</v>
      </c>
      <c r="M88" s="6" t="n">
        <v>300</v>
      </c>
      <c r="N88" s="6" t="n">
        <v>300</v>
      </c>
      <c r="O88" s="6" t="n">
        <v>300</v>
      </c>
      <c r="P88" s="6" t="n">
        <v>300</v>
      </c>
      <c r="Q88" s="6" t="n">
        <v>300</v>
      </c>
      <c r="R88" s="6" t="n">
        <v>300</v>
      </c>
      <c r="S88" s="6" t="n">
        <v>300</v>
      </c>
      <c r="T88" s="6" t="n">
        <v>300</v>
      </c>
      <c r="U88" s="6" t="n">
        <v>300</v>
      </c>
      <c r="V88" s="6" t="n">
        <v>300</v>
      </c>
      <c r="W88" s="6" t="n">
        <v>300</v>
      </c>
      <c r="X88" s="6" t="n">
        <v>300</v>
      </c>
      <c r="Y88" s="6" t="n">
        <v>300</v>
      </c>
      <c r="Z88" s="6" t="n">
        <v>300</v>
      </c>
      <c r="AA88" s="6" t="n">
        <v>300</v>
      </c>
      <c r="AB88" s="6" t="n">
        <v>300</v>
      </c>
      <c r="AC88" s="6" t="n">
        <v>300</v>
      </c>
      <c r="AD88" s="6" t="n">
        <v>300</v>
      </c>
      <c r="AE88" s="6" t="n">
        <v>300</v>
      </c>
      <c r="AF88" s="6" t="n">
        <v>300</v>
      </c>
      <c r="AG88" s="6" t="n">
        <v>300</v>
      </c>
      <c r="AH88" s="6" t="n">
        <v>300</v>
      </c>
    </row>
    <row r="89" hidden="1" outlineLevel="1" collapsed="1">
      <c r="A89" s="10" t="inlineStr">
        <is>
          <t>Utilities</t>
        </is>
      </c>
      <c r="B89" s="6" t="n">
        <v>450</v>
      </c>
      <c r="C89" s="6" t="n">
        <v>450</v>
      </c>
      <c r="D89" s="6" t="n">
        <v>450</v>
      </c>
      <c r="E89" s="6" t="n">
        <v>450</v>
      </c>
      <c r="F89" s="6" t="n">
        <v>450</v>
      </c>
      <c r="G89" s="6" t="n">
        <v>450</v>
      </c>
      <c r="H89" s="6" t="n">
        <v>450</v>
      </c>
      <c r="I89" s="6" t="n">
        <v>450</v>
      </c>
      <c r="J89" s="6" t="n">
        <v>450</v>
      </c>
      <c r="K89" s="6" t="n">
        <v>450</v>
      </c>
      <c r="L89" s="6" t="n">
        <v>450</v>
      </c>
      <c r="M89" s="6" t="n">
        <v>450</v>
      </c>
      <c r="N89" s="6" t="n">
        <v>450</v>
      </c>
      <c r="O89" s="6" t="n">
        <v>450</v>
      </c>
      <c r="P89" s="6" t="n">
        <v>450</v>
      </c>
      <c r="Q89" s="6" t="n">
        <v>450</v>
      </c>
      <c r="R89" s="6" t="n">
        <v>450</v>
      </c>
      <c r="S89" s="6" t="n">
        <v>450</v>
      </c>
      <c r="T89" s="6" t="n">
        <v>450</v>
      </c>
      <c r="U89" s="6" t="n">
        <v>450</v>
      </c>
      <c r="V89" s="6" t="n">
        <v>450</v>
      </c>
      <c r="W89" s="6" t="n">
        <v>450</v>
      </c>
      <c r="X89" s="6" t="n">
        <v>450</v>
      </c>
      <c r="Y89" s="6" t="n">
        <v>450</v>
      </c>
      <c r="Z89" s="6" t="n">
        <v>450</v>
      </c>
      <c r="AA89" s="6" t="n">
        <v>450</v>
      </c>
      <c r="AB89" s="6" t="n">
        <v>450</v>
      </c>
      <c r="AC89" s="6" t="n">
        <v>450</v>
      </c>
      <c r="AD89" s="6" t="n">
        <v>450</v>
      </c>
      <c r="AE89" s="6" t="n">
        <v>450</v>
      </c>
      <c r="AF89" s="6" t="n">
        <v>450</v>
      </c>
      <c r="AG89" s="6" t="n">
        <v>450</v>
      </c>
      <c r="AH89" s="6" t="n">
        <v>450</v>
      </c>
    </row>
    <row r="90" hidden="1" outlineLevel="2" collapsed="1">
      <c r="A90" s="11" t="inlineStr"/>
      <c r="B90" s="6" t="n">
        <v>450</v>
      </c>
      <c r="C90" s="6" t="n">
        <v>450</v>
      </c>
      <c r="D90" s="6" t="n">
        <v>450</v>
      </c>
      <c r="E90" s="6" t="n">
        <v>450</v>
      </c>
      <c r="F90" s="6" t="n">
        <v>450</v>
      </c>
      <c r="G90" s="6" t="n">
        <v>450</v>
      </c>
      <c r="H90" s="6" t="n">
        <v>450</v>
      </c>
      <c r="I90" s="6" t="n">
        <v>450</v>
      </c>
      <c r="J90" s="6" t="n">
        <v>450</v>
      </c>
      <c r="K90" s="6" t="n">
        <v>450</v>
      </c>
      <c r="L90" s="6" t="n">
        <v>450</v>
      </c>
      <c r="M90" s="6" t="n">
        <v>450</v>
      </c>
      <c r="N90" s="6" t="n">
        <v>450</v>
      </c>
      <c r="O90" s="6" t="n">
        <v>450</v>
      </c>
      <c r="P90" s="6" t="n">
        <v>450</v>
      </c>
      <c r="Q90" s="6" t="n">
        <v>450</v>
      </c>
      <c r="R90" s="6" t="n">
        <v>450</v>
      </c>
      <c r="S90" s="6" t="n">
        <v>450</v>
      </c>
      <c r="T90" s="6" t="n">
        <v>450</v>
      </c>
      <c r="U90" s="6" t="n">
        <v>450</v>
      </c>
      <c r="V90" s="6" t="n">
        <v>450</v>
      </c>
      <c r="W90" s="6" t="n">
        <v>450</v>
      </c>
      <c r="X90" s="6" t="n">
        <v>450</v>
      </c>
      <c r="Y90" s="6" t="n">
        <v>450</v>
      </c>
      <c r="Z90" s="6" t="n">
        <v>450</v>
      </c>
      <c r="AA90" s="6" t="n">
        <v>450</v>
      </c>
      <c r="AB90" s="6" t="n">
        <v>450</v>
      </c>
      <c r="AC90" s="6" t="n">
        <v>450</v>
      </c>
      <c r="AD90" s="6" t="n">
        <v>450</v>
      </c>
      <c r="AE90" s="6" t="n">
        <v>450</v>
      </c>
      <c r="AF90" s="6" t="n">
        <v>450</v>
      </c>
      <c r="AG90" s="6" t="n">
        <v>450</v>
      </c>
      <c r="AH90" s="6" t="n">
        <v>450</v>
      </c>
    </row>
    <row r="91" hidden="1" outlineLevel="3" collapsed="1">
      <c r="A91" s="12" t="inlineStr">
        <is>
          <t>6400 - Gas</t>
        </is>
      </c>
      <c r="B91" s="6" t="n">
        <v>150</v>
      </c>
      <c r="C91" s="6" t="n">
        <v>150</v>
      </c>
      <c r="D91" s="6" t="n">
        <v>150</v>
      </c>
      <c r="E91" s="6" t="n">
        <v>150</v>
      </c>
      <c r="F91" s="6" t="n">
        <v>150</v>
      </c>
      <c r="G91" s="6" t="n">
        <v>150</v>
      </c>
      <c r="H91" s="6" t="n">
        <v>150</v>
      </c>
      <c r="I91" s="6" t="n">
        <v>150</v>
      </c>
      <c r="J91" s="6" t="n">
        <v>150</v>
      </c>
      <c r="K91" s="6" t="n">
        <v>150</v>
      </c>
      <c r="L91" s="6" t="n">
        <v>150</v>
      </c>
      <c r="M91" s="6" t="n">
        <v>150</v>
      </c>
      <c r="N91" s="6" t="n">
        <v>150</v>
      </c>
      <c r="O91" s="6" t="n">
        <v>150</v>
      </c>
      <c r="P91" s="6" t="n">
        <v>150</v>
      </c>
      <c r="Q91" s="6" t="n">
        <v>150</v>
      </c>
      <c r="R91" s="6" t="n">
        <v>150</v>
      </c>
      <c r="S91" s="6" t="n">
        <v>150</v>
      </c>
      <c r="T91" s="6" t="n">
        <v>150</v>
      </c>
      <c r="U91" s="6" t="n">
        <v>150</v>
      </c>
      <c r="V91" s="6" t="n">
        <v>150</v>
      </c>
      <c r="W91" s="6" t="n">
        <v>150</v>
      </c>
      <c r="X91" s="6" t="n">
        <v>150</v>
      </c>
      <c r="Y91" s="6" t="n">
        <v>150</v>
      </c>
      <c r="Z91" s="6" t="n">
        <v>150</v>
      </c>
      <c r="AA91" s="6" t="n">
        <v>150</v>
      </c>
      <c r="AB91" s="6" t="n">
        <v>150</v>
      </c>
      <c r="AC91" s="6" t="n">
        <v>150</v>
      </c>
      <c r="AD91" s="6" t="n">
        <v>150</v>
      </c>
      <c r="AE91" s="6" t="n">
        <v>150</v>
      </c>
      <c r="AF91" s="6" t="n">
        <v>150</v>
      </c>
      <c r="AG91" s="6" t="n">
        <v>150</v>
      </c>
      <c r="AH91" s="6" t="n">
        <v>150</v>
      </c>
    </row>
    <row r="92" hidden="1" outlineLevel="3" collapsed="1">
      <c r="A92" s="12" t="inlineStr">
        <is>
          <t>6401 - Electricity</t>
        </is>
      </c>
      <c r="B92" s="6" t="n">
        <v>200</v>
      </c>
      <c r="C92" s="6" t="n">
        <v>200</v>
      </c>
      <c r="D92" s="6" t="n">
        <v>200</v>
      </c>
      <c r="E92" s="6" t="n">
        <v>200</v>
      </c>
      <c r="F92" s="6" t="n">
        <v>200</v>
      </c>
      <c r="G92" s="6" t="n">
        <v>200</v>
      </c>
      <c r="H92" s="6" t="n">
        <v>200</v>
      </c>
      <c r="I92" s="6" t="n">
        <v>200</v>
      </c>
      <c r="J92" s="6" t="n">
        <v>200</v>
      </c>
      <c r="K92" s="6" t="n">
        <v>200</v>
      </c>
      <c r="L92" s="6" t="n">
        <v>200</v>
      </c>
      <c r="M92" s="6" t="n">
        <v>200</v>
      </c>
      <c r="N92" s="6" t="n">
        <v>200</v>
      </c>
      <c r="O92" s="6" t="n">
        <v>200</v>
      </c>
      <c r="P92" s="6" t="n">
        <v>200</v>
      </c>
      <c r="Q92" s="6" t="n">
        <v>200</v>
      </c>
      <c r="R92" s="6" t="n">
        <v>200</v>
      </c>
      <c r="S92" s="6" t="n">
        <v>200</v>
      </c>
      <c r="T92" s="6" t="n">
        <v>200</v>
      </c>
      <c r="U92" s="6" t="n">
        <v>200</v>
      </c>
      <c r="V92" s="6" t="n">
        <v>200</v>
      </c>
      <c r="W92" s="6" t="n">
        <v>200</v>
      </c>
      <c r="X92" s="6" t="n">
        <v>200</v>
      </c>
      <c r="Y92" s="6" t="n">
        <v>200</v>
      </c>
      <c r="Z92" s="6" t="n">
        <v>200</v>
      </c>
      <c r="AA92" s="6" t="n">
        <v>200</v>
      </c>
      <c r="AB92" s="6" t="n">
        <v>200</v>
      </c>
      <c r="AC92" s="6" t="n">
        <v>200</v>
      </c>
      <c r="AD92" s="6" t="n">
        <v>200</v>
      </c>
      <c r="AE92" s="6" t="n">
        <v>200</v>
      </c>
      <c r="AF92" s="6" t="n">
        <v>200</v>
      </c>
      <c r="AG92" s="6" t="n">
        <v>200</v>
      </c>
      <c r="AH92" s="6" t="n">
        <v>200</v>
      </c>
    </row>
    <row r="93" hidden="1" outlineLevel="3" collapsed="1">
      <c r="A93" s="12" t="inlineStr">
        <is>
          <t>6402 - Water</t>
        </is>
      </c>
      <c r="B93" s="6" t="n">
        <v>100</v>
      </c>
      <c r="C93" s="6" t="n">
        <v>100</v>
      </c>
      <c r="D93" s="6" t="n">
        <v>100</v>
      </c>
      <c r="E93" s="6" t="n">
        <v>100</v>
      </c>
      <c r="F93" s="6" t="n">
        <v>100</v>
      </c>
      <c r="G93" s="6" t="n">
        <v>100</v>
      </c>
      <c r="H93" s="6" t="n">
        <v>100</v>
      </c>
      <c r="I93" s="6" t="n">
        <v>100</v>
      </c>
      <c r="J93" s="6" t="n">
        <v>100</v>
      </c>
      <c r="K93" s="6" t="n">
        <v>100</v>
      </c>
      <c r="L93" s="6" t="n">
        <v>100</v>
      </c>
      <c r="M93" s="6" t="n">
        <v>100</v>
      </c>
      <c r="N93" s="6" t="n">
        <v>100</v>
      </c>
      <c r="O93" s="6" t="n">
        <v>100</v>
      </c>
      <c r="P93" s="6" t="n">
        <v>100</v>
      </c>
      <c r="Q93" s="6" t="n">
        <v>100</v>
      </c>
      <c r="R93" s="6" t="n">
        <v>100</v>
      </c>
      <c r="S93" s="6" t="n">
        <v>100</v>
      </c>
      <c r="T93" s="6" t="n">
        <v>100</v>
      </c>
      <c r="U93" s="6" t="n">
        <v>100</v>
      </c>
      <c r="V93" s="6" t="n">
        <v>100</v>
      </c>
      <c r="W93" s="6" t="n">
        <v>100</v>
      </c>
      <c r="X93" s="6" t="n">
        <v>100</v>
      </c>
      <c r="Y93" s="6" t="n">
        <v>100</v>
      </c>
      <c r="Z93" s="6" t="n">
        <v>100</v>
      </c>
      <c r="AA93" s="6" t="n">
        <v>100</v>
      </c>
      <c r="AB93" s="6" t="n">
        <v>100</v>
      </c>
      <c r="AC93" s="6" t="n">
        <v>100</v>
      </c>
      <c r="AD93" s="6" t="n">
        <v>100</v>
      </c>
      <c r="AE93" s="6" t="n">
        <v>100</v>
      </c>
      <c r="AF93" s="6" t="n">
        <v>100</v>
      </c>
      <c r="AG93" s="6" t="n">
        <v>100</v>
      </c>
      <c r="AH93" s="6" t="n">
        <v>100</v>
      </c>
    </row>
    <row r="94" hidden="1" outlineLevel="1" collapsed="1">
      <c r="A94" s="10" t="inlineStr">
        <is>
          <t>Vehicle expenses</t>
        </is>
      </c>
      <c r="B94" s="6" t="n">
        <v>575</v>
      </c>
      <c r="C94" s="6" t="n">
        <v>575</v>
      </c>
      <c r="D94" s="6" t="n">
        <v>575</v>
      </c>
      <c r="E94" s="6" t="n">
        <v>575</v>
      </c>
      <c r="F94" s="6" t="n">
        <v>575</v>
      </c>
      <c r="G94" s="6" t="n">
        <v>575</v>
      </c>
      <c r="H94" s="6" t="n">
        <v>575</v>
      </c>
      <c r="I94" s="6" t="n">
        <v>575</v>
      </c>
      <c r="J94" s="6" t="n">
        <v>575</v>
      </c>
      <c r="K94" s="6" t="n">
        <v>575</v>
      </c>
      <c r="L94" s="6" t="n">
        <v>575</v>
      </c>
      <c r="M94" s="6" t="n">
        <v>575</v>
      </c>
      <c r="N94" s="6" t="n">
        <v>575</v>
      </c>
      <c r="O94" s="6" t="n">
        <v>575</v>
      </c>
      <c r="P94" s="6" t="n">
        <v>575</v>
      </c>
      <c r="Q94" s="6" t="n">
        <v>575</v>
      </c>
      <c r="R94" s="6" t="n">
        <v>575</v>
      </c>
      <c r="S94" s="6" t="n">
        <v>575</v>
      </c>
      <c r="T94" s="6" t="n">
        <v>575</v>
      </c>
      <c r="U94" s="6" t="n">
        <v>575</v>
      </c>
      <c r="V94" s="6" t="n">
        <v>575</v>
      </c>
      <c r="W94" s="6" t="n">
        <v>575</v>
      </c>
      <c r="X94" s="6" t="n">
        <v>575</v>
      </c>
      <c r="Y94" s="6" t="n">
        <v>575</v>
      </c>
      <c r="Z94" s="6" t="n">
        <v>575</v>
      </c>
      <c r="AA94" s="6" t="n">
        <v>575</v>
      </c>
      <c r="AB94" s="6" t="n">
        <v>575</v>
      </c>
      <c r="AC94" s="6" t="n">
        <v>575</v>
      </c>
      <c r="AD94" s="6" t="n">
        <v>575</v>
      </c>
      <c r="AE94" s="6" t="n">
        <v>575</v>
      </c>
      <c r="AF94" s="6" t="n">
        <v>575</v>
      </c>
      <c r="AG94" s="6" t="n">
        <v>575</v>
      </c>
      <c r="AH94" s="6" t="n">
        <v>575</v>
      </c>
    </row>
    <row r="95" hidden="1" outlineLevel="2" collapsed="1">
      <c r="A95" s="11" t="inlineStr"/>
      <c r="B95" s="6" t="n">
        <v>575</v>
      </c>
      <c r="C95" s="6" t="n">
        <v>575</v>
      </c>
      <c r="D95" s="6" t="n">
        <v>575</v>
      </c>
      <c r="E95" s="6" t="n">
        <v>575</v>
      </c>
      <c r="F95" s="6" t="n">
        <v>575</v>
      </c>
      <c r="G95" s="6" t="n">
        <v>575</v>
      </c>
      <c r="H95" s="6" t="n">
        <v>575</v>
      </c>
      <c r="I95" s="6" t="n">
        <v>575</v>
      </c>
      <c r="J95" s="6" t="n">
        <v>575</v>
      </c>
      <c r="K95" s="6" t="n">
        <v>575</v>
      </c>
      <c r="L95" s="6" t="n">
        <v>575</v>
      </c>
      <c r="M95" s="6" t="n">
        <v>575</v>
      </c>
      <c r="N95" s="6" t="n">
        <v>575</v>
      </c>
      <c r="O95" s="6" t="n">
        <v>575</v>
      </c>
      <c r="P95" s="6" t="n">
        <v>575</v>
      </c>
      <c r="Q95" s="6" t="n">
        <v>575</v>
      </c>
      <c r="R95" s="6" t="n">
        <v>575</v>
      </c>
      <c r="S95" s="6" t="n">
        <v>575</v>
      </c>
      <c r="T95" s="6" t="n">
        <v>575</v>
      </c>
      <c r="U95" s="6" t="n">
        <v>575</v>
      </c>
      <c r="V95" s="6" t="n">
        <v>575</v>
      </c>
      <c r="W95" s="6" t="n">
        <v>575</v>
      </c>
      <c r="X95" s="6" t="n">
        <v>575</v>
      </c>
      <c r="Y95" s="6" t="n">
        <v>575</v>
      </c>
      <c r="Z95" s="6" t="n">
        <v>575</v>
      </c>
      <c r="AA95" s="6" t="n">
        <v>575</v>
      </c>
      <c r="AB95" s="6" t="n">
        <v>575</v>
      </c>
      <c r="AC95" s="6" t="n">
        <v>575</v>
      </c>
      <c r="AD95" s="6" t="n">
        <v>575</v>
      </c>
      <c r="AE95" s="6" t="n">
        <v>575</v>
      </c>
      <c r="AF95" s="6" t="n">
        <v>575</v>
      </c>
      <c r="AG95" s="6" t="n">
        <v>575</v>
      </c>
      <c r="AH95" s="6" t="n">
        <v>575</v>
      </c>
    </row>
    <row r="96" hidden="1" outlineLevel="3" collapsed="1">
      <c r="A96" s="12" t="inlineStr">
        <is>
          <t>6110 - Vehicle maintenance</t>
        </is>
      </c>
      <c r="B96" s="6" t="n">
        <v>100</v>
      </c>
      <c r="C96" s="6" t="n">
        <v>100</v>
      </c>
      <c r="D96" s="6" t="n">
        <v>100</v>
      </c>
      <c r="E96" s="6" t="n">
        <v>100</v>
      </c>
      <c r="F96" s="6" t="n">
        <v>100</v>
      </c>
      <c r="G96" s="6" t="n">
        <v>100</v>
      </c>
      <c r="H96" s="6" t="n">
        <v>100</v>
      </c>
      <c r="I96" s="6" t="n">
        <v>100</v>
      </c>
      <c r="J96" s="6" t="n">
        <v>100</v>
      </c>
      <c r="K96" s="6" t="n">
        <v>100</v>
      </c>
      <c r="L96" s="6" t="n">
        <v>100</v>
      </c>
      <c r="M96" s="6" t="n">
        <v>100</v>
      </c>
      <c r="N96" s="6" t="n">
        <v>100</v>
      </c>
      <c r="O96" s="6" t="n">
        <v>100</v>
      </c>
      <c r="P96" s="6" t="n">
        <v>100</v>
      </c>
      <c r="Q96" s="6" t="n">
        <v>100</v>
      </c>
      <c r="R96" s="6" t="n">
        <v>100</v>
      </c>
      <c r="S96" s="6" t="n">
        <v>100</v>
      </c>
      <c r="T96" s="6" t="n">
        <v>100</v>
      </c>
      <c r="U96" s="6" t="n">
        <v>100</v>
      </c>
      <c r="V96" s="6" t="n">
        <v>100</v>
      </c>
      <c r="W96" s="6" t="n">
        <v>100</v>
      </c>
      <c r="X96" s="6" t="n">
        <v>100</v>
      </c>
      <c r="Y96" s="6" t="n">
        <v>100</v>
      </c>
      <c r="Z96" s="6" t="n">
        <v>100</v>
      </c>
      <c r="AA96" s="6" t="n">
        <v>100</v>
      </c>
      <c r="AB96" s="6" t="n">
        <v>100</v>
      </c>
      <c r="AC96" s="6" t="n">
        <v>100</v>
      </c>
      <c r="AD96" s="6" t="n">
        <v>100</v>
      </c>
      <c r="AE96" s="6" t="n">
        <v>100</v>
      </c>
      <c r="AF96" s="6" t="n">
        <v>100</v>
      </c>
      <c r="AG96" s="6" t="n">
        <v>100</v>
      </c>
      <c r="AH96" s="6" t="n">
        <v>100</v>
      </c>
    </row>
    <row r="97" hidden="1" outlineLevel="3" collapsed="1">
      <c r="A97" s="12" t="inlineStr">
        <is>
          <t>6111 - Other vehicle expenses</t>
        </is>
      </c>
      <c r="B97" s="6" t="n">
        <v>125</v>
      </c>
      <c r="C97" s="6" t="n">
        <v>125</v>
      </c>
      <c r="D97" s="6" t="n">
        <v>125</v>
      </c>
      <c r="E97" s="6" t="n">
        <v>125</v>
      </c>
      <c r="F97" s="6" t="n">
        <v>125</v>
      </c>
      <c r="G97" s="6" t="n">
        <v>125</v>
      </c>
      <c r="H97" s="6" t="n">
        <v>125</v>
      </c>
      <c r="I97" s="6" t="n">
        <v>125</v>
      </c>
      <c r="J97" s="6" t="n">
        <v>125</v>
      </c>
      <c r="K97" s="6" t="n">
        <v>125</v>
      </c>
      <c r="L97" s="6" t="n">
        <v>125</v>
      </c>
      <c r="M97" s="6" t="n">
        <v>125</v>
      </c>
      <c r="N97" s="6" t="n">
        <v>125</v>
      </c>
      <c r="O97" s="6" t="n">
        <v>125</v>
      </c>
      <c r="P97" s="6" t="n">
        <v>125</v>
      </c>
      <c r="Q97" s="6" t="n">
        <v>125</v>
      </c>
      <c r="R97" s="6" t="n">
        <v>125</v>
      </c>
      <c r="S97" s="6" t="n">
        <v>125</v>
      </c>
      <c r="T97" s="6" t="n">
        <v>125</v>
      </c>
      <c r="U97" s="6" t="n">
        <v>125</v>
      </c>
      <c r="V97" s="6" t="n">
        <v>125</v>
      </c>
      <c r="W97" s="6" t="n">
        <v>125</v>
      </c>
      <c r="X97" s="6" t="n">
        <v>125</v>
      </c>
      <c r="Y97" s="6" t="n">
        <v>125</v>
      </c>
      <c r="Z97" s="6" t="n">
        <v>125</v>
      </c>
      <c r="AA97" s="6" t="n">
        <v>125</v>
      </c>
      <c r="AB97" s="6" t="n">
        <v>125</v>
      </c>
      <c r="AC97" s="6" t="n">
        <v>125</v>
      </c>
      <c r="AD97" s="6" t="n">
        <v>125</v>
      </c>
      <c r="AE97" s="6" t="n">
        <v>125</v>
      </c>
      <c r="AF97" s="6" t="n">
        <v>125</v>
      </c>
      <c r="AG97" s="6" t="n">
        <v>125</v>
      </c>
      <c r="AH97" s="6" t="n">
        <v>125</v>
      </c>
    </row>
    <row r="98" hidden="1" outlineLevel="3" collapsed="1">
      <c r="A98" s="12" t="inlineStr">
        <is>
          <t>6112 - Vehicle fuel</t>
        </is>
      </c>
      <c r="B98" s="6" t="n">
        <v>300</v>
      </c>
      <c r="C98" s="6" t="n">
        <v>300</v>
      </c>
      <c r="D98" s="6" t="n">
        <v>300</v>
      </c>
      <c r="E98" s="6" t="n">
        <v>300</v>
      </c>
      <c r="F98" s="6" t="n">
        <v>300</v>
      </c>
      <c r="G98" s="6" t="n">
        <v>300</v>
      </c>
      <c r="H98" s="6" t="n">
        <v>300</v>
      </c>
      <c r="I98" s="6" t="n">
        <v>300</v>
      </c>
      <c r="J98" s="6" t="n">
        <v>300</v>
      </c>
      <c r="K98" s="6" t="n">
        <v>300</v>
      </c>
      <c r="L98" s="6" t="n">
        <v>300</v>
      </c>
      <c r="M98" s="6" t="n">
        <v>300</v>
      </c>
      <c r="N98" s="6" t="n">
        <v>300</v>
      </c>
      <c r="O98" s="6" t="n">
        <v>300</v>
      </c>
      <c r="P98" s="6" t="n">
        <v>300</v>
      </c>
      <c r="Q98" s="6" t="n">
        <v>300</v>
      </c>
      <c r="R98" s="6" t="n">
        <v>300</v>
      </c>
      <c r="S98" s="6" t="n">
        <v>300</v>
      </c>
      <c r="T98" s="6" t="n">
        <v>300</v>
      </c>
      <c r="U98" s="6" t="n">
        <v>300</v>
      </c>
      <c r="V98" s="6" t="n">
        <v>300</v>
      </c>
      <c r="W98" s="6" t="n">
        <v>300</v>
      </c>
      <c r="X98" s="6" t="n">
        <v>300</v>
      </c>
      <c r="Y98" s="6" t="n">
        <v>300</v>
      </c>
      <c r="Z98" s="6" t="n">
        <v>300</v>
      </c>
      <c r="AA98" s="6" t="n">
        <v>300</v>
      </c>
      <c r="AB98" s="6" t="n">
        <v>300</v>
      </c>
      <c r="AC98" s="6" t="n">
        <v>300</v>
      </c>
      <c r="AD98" s="6" t="n">
        <v>300</v>
      </c>
      <c r="AE98" s="6" t="n">
        <v>300</v>
      </c>
      <c r="AF98" s="6" t="n">
        <v>300</v>
      </c>
      <c r="AG98" s="6" t="n">
        <v>300</v>
      </c>
      <c r="AH98" s="6" t="n">
        <v>300</v>
      </c>
    </row>
    <row r="99" hidden="1" outlineLevel="3" collapsed="1">
      <c r="A99" s="12" t="inlineStr">
        <is>
          <t>6304 - Parking</t>
        </is>
      </c>
      <c r="B99" s="6" t="n">
        <v>50</v>
      </c>
      <c r="C99" s="6" t="n">
        <v>50</v>
      </c>
      <c r="D99" s="6" t="n">
        <v>50</v>
      </c>
      <c r="E99" s="6" t="n">
        <v>50</v>
      </c>
      <c r="F99" s="6" t="n">
        <v>50</v>
      </c>
      <c r="G99" s="6" t="n">
        <v>50</v>
      </c>
      <c r="H99" s="6" t="n">
        <v>50</v>
      </c>
      <c r="I99" s="6" t="n">
        <v>50</v>
      </c>
      <c r="J99" s="6" t="n">
        <v>50</v>
      </c>
      <c r="K99" s="6" t="n">
        <v>50</v>
      </c>
      <c r="L99" s="6" t="n">
        <v>50</v>
      </c>
      <c r="M99" s="6" t="n">
        <v>50</v>
      </c>
      <c r="N99" s="6" t="n">
        <v>50</v>
      </c>
      <c r="O99" s="6" t="n">
        <v>50</v>
      </c>
      <c r="P99" s="6" t="n">
        <v>50</v>
      </c>
      <c r="Q99" s="6" t="n">
        <v>50</v>
      </c>
      <c r="R99" s="6" t="n">
        <v>50</v>
      </c>
      <c r="S99" s="6" t="n">
        <v>50</v>
      </c>
      <c r="T99" s="6" t="n">
        <v>50</v>
      </c>
      <c r="U99" s="6" t="n">
        <v>50</v>
      </c>
      <c r="V99" s="6" t="n">
        <v>50</v>
      </c>
      <c r="W99" s="6" t="n">
        <v>50</v>
      </c>
      <c r="X99" s="6" t="n">
        <v>50</v>
      </c>
      <c r="Y99" s="6" t="n">
        <v>50</v>
      </c>
      <c r="Z99" s="6" t="n">
        <v>50</v>
      </c>
      <c r="AA99" s="6" t="n">
        <v>50</v>
      </c>
      <c r="AB99" s="6" t="n">
        <v>50</v>
      </c>
      <c r="AC99" s="6" t="n">
        <v>50</v>
      </c>
      <c r="AD99" s="6" t="n">
        <v>50</v>
      </c>
      <c r="AE99" s="6" t="n">
        <v>50</v>
      </c>
      <c r="AF99" s="6" t="n">
        <v>50</v>
      </c>
      <c r="AG99" s="6" t="n">
        <v>50</v>
      </c>
      <c r="AH99" s="6" t="n">
        <v>50</v>
      </c>
    </row>
    <row r="100"/>
    <row r="101">
      <c r="A101" s="13" t="inlineStr">
        <is>
          <t>Operating Margin</t>
        </is>
      </c>
      <c r="B101" s="14">
        <f>B21-B24</f>
        <v/>
      </c>
      <c r="C101" s="14">
        <f>C21-C24</f>
        <v/>
      </c>
      <c r="D101" s="14">
        <f>D21-D24</f>
        <v/>
      </c>
      <c r="E101" s="14">
        <f>E21-E24</f>
        <v/>
      </c>
      <c r="F101" s="14">
        <f>F21-F24</f>
        <v/>
      </c>
      <c r="G101" s="14">
        <f>G21-G24</f>
        <v/>
      </c>
      <c r="H101" s="14">
        <f>H21-H24</f>
        <v/>
      </c>
      <c r="I101" s="14">
        <f>I21-I24</f>
        <v/>
      </c>
      <c r="J101" s="14">
        <f>J21-J24</f>
        <v/>
      </c>
      <c r="K101" s="14">
        <f>K21-K24</f>
        <v/>
      </c>
      <c r="L101" s="14">
        <f>L21-L24</f>
        <v/>
      </c>
      <c r="M101" s="14">
        <f>M21-M24</f>
        <v/>
      </c>
      <c r="N101" s="14">
        <f>N21-N24</f>
        <v/>
      </c>
      <c r="O101" s="14">
        <f>O21-O24</f>
        <v/>
      </c>
      <c r="P101" s="14">
        <f>P21-P24</f>
        <v/>
      </c>
      <c r="Q101" s="14">
        <f>Q21-Q24</f>
        <v/>
      </c>
      <c r="R101" s="14">
        <f>R21-R24</f>
        <v/>
      </c>
      <c r="S101" s="14">
        <f>S21-S24</f>
        <v/>
      </c>
      <c r="T101" s="14">
        <f>T21-T24</f>
        <v/>
      </c>
      <c r="U101" s="14">
        <f>U21-U24</f>
        <v/>
      </c>
      <c r="V101" s="14">
        <f>V21-V24</f>
        <v/>
      </c>
      <c r="W101" s="14">
        <f>W21-W24</f>
        <v/>
      </c>
      <c r="X101" s="14">
        <f>X21-X24</f>
        <v/>
      </c>
      <c r="Y101" s="14">
        <f>Y21-Y24</f>
        <v/>
      </c>
      <c r="Z101" s="14">
        <f>Z21-Z24</f>
        <v/>
      </c>
      <c r="AA101" s="14">
        <f>AA21-AA24</f>
        <v/>
      </c>
      <c r="AB101" s="14">
        <f>AB21-AB24</f>
        <v/>
      </c>
      <c r="AC101" s="14">
        <f>AC21-AC24</f>
        <v/>
      </c>
      <c r="AD101" s="14">
        <f>AD21-AD24</f>
        <v/>
      </c>
      <c r="AE101" s="14">
        <f>AE21-AE24</f>
        <v/>
      </c>
      <c r="AF101" s="14">
        <f>AF21-AF24</f>
        <v/>
      </c>
      <c r="AG101" s="14">
        <f>AG21-AG24</f>
        <v/>
      </c>
      <c r="AH101" s="14">
        <f>AH21-AH24</f>
        <v/>
      </c>
      <c r="AI101" s="13" t="n"/>
      <c r="AJ101" s="13" t="n"/>
      <c r="AK101" s="13" t="n"/>
      <c r="AL101" s="13" t="n"/>
      <c r="AM101" s="13" t="n"/>
      <c r="AN101" s="13" t="n"/>
      <c r="AO101" s="13" t="n"/>
      <c r="AP101" s="13" t="n"/>
      <c r="AQ101" s="13" t="n"/>
      <c r="AR101" s="13" t="n"/>
      <c r="AS101" s="13" t="n"/>
      <c r="AT101" s="13" t="n"/>
      <c r="AU101" s="13" t="n"/>
      <c r="AV101" s="13" t="n"/>
      <c r="AW101" s="13" t="n"/>
      <c r="AX101" s="13" t="n"/>
      <c r="AY101" s="13" t="n"/>
      <c r="AZ101" s="13" t="n"/>
      <c r="BA101" s="13" t="n"/>
      <c r="BB101" s="13" t="n"/>
      <c r="BC101" s="13" t="n"/>
      <c r="BD101" s="13" t="n"/>
      <c r="BE101" s="13" t="n"/>
      <c r="BF101" s="13" t="n"/>
      <c r="BG101" s="13" t="n"/>
      <c r="BH101" s="13" t="n"/>
      <c r="BI101" s="13" t="n"/>
      <c r="BJ101" s="13" t="n"/>
      <c r="BK101" s="13" t="n"/>
      <c r="BL101" s="13" t="n"/>
      <c r="BM101" s="13" t="n"/>
      <c r="BN101" s="13" t="n"/>
      <c r="BO101" s="13" t="n"/>
    </row>
    <row r="102">
      <c r="A102" s="21" t="inlineStr">
        <is>
          <t>Operating Margin (%)</t>
        </is>
      </c>
      <c r="B102" s="19">
        <f>IF($B$7=0, 0, B101/$B$7)</f>
        <v/>
      </c>
      <c r="C102" s="19">
        <f>IF($C$7=0, 0, C101/$C$7)</f>
        <v/>
      </c>
      <c r="D102" s="19">
        <f>IF($D$7=0, 0, D101/$D$7)</f>
        <v/>
      </c>
      <c r="E102" s="19">
        <f>IF($E$7=0, 0, E101/$E$7)</f>
        <v/>
      </c>
      <c r="F102" s="19">
        <f>IF($F$7=0, 0, F101/$F$7)</f>
        <v/>
      </c>
      <c r="G102" s="19">
        <f>IF($G$7=0, 0, G101/$G$7)</f>
        <v/>
      </c>
      <c r="H102" s="19">
        <f>IF($H$7=0, 0, H101/$H$7)</f>
        <v/>
      </c>
      <c r="I102" s="19">
        <f>IF($I$7=0, 0, I101/$I$7)</f>
        <v/>
      </c>
      <c r="J102" s="19">
        <f>IF($J$7=0, 0, J101/$J$7)</f>
        <v/>
      </c>
      <c r="K102" s="19">
        <f>IF($K$7=0, 0, K101/$K$7)</f>
        <v/>
      </c>
      <c r="L102" s="19">
        <f>IF($L$7=0, 0, L101/$L$7)</f>
        <v/>
      </c>
      <c r="M102" s="19">
        <f>IF($M$7=0, 0, M101/$M$7)</f>
        <v/>
      </c>
      <c r="N102" s="19">
        <f>IF($N$7=0, 0, N101/$N$7)</f>
        <v/>
      </c>
      <c r="O102" s="19">
        <f>IF($O$7=0, 0, O101/$O$7)</f>
        <v/>
      </c>
      <c r="P102" s="19">
        <f>IF($P$7=0, 0, P101/$P$7)</f>
        <v/>
      </c>
      <c r="Q102" s="19">
        <f>IF($Q$7=0, 0, Q101/$Q$7)</f>
        <v/>
      </c>
      <c r="R102" s="19">
        <f>IF($R$7=0, 0, R101/$R$7)</f>
        <v/>
      </c>
      <c r="S102" s="19">
        <f>IF($S$7=0, 0, S101/$S$7)</f>
        <v/>
      </c>
      <c r="T102" s="19">
        <f>IF($T$7=0, 0, T101/$T$7)</f>
        <v/>
      </c>
      <c r="U102" s="19">
        <f>IF($U$7=0, 0, U101/$U$7)</f>
        <v/>
      </c>
      <c r="V102" s="19">
        <f>IF($V$7=0, 0, V101/$V$7)</f>
        <v/>
      </c>
      <c r="W102" s="19">
        <f>IF($W$7=0, 0, W101/$W$7)</f>
        <v/>
      </c>
      <c r="X102" s="19">
        <f>IF($X$7=0, 0, X101/$X$7)</f>
        <v/>
      </c>
      <c r="Y102" s="19">
        <f>IF($Y$7=0, 0, Y101/$Y$7)</f>
        <v/>
      </c>
      <c r="Z102" s="19">
        <f>IF($Z$7=0, 0, Z101/$Z$7)</f>
        <v/>
      </c>
      <c r="AA102" s="19">
        <f>IF($AA$7=0, 0, AA101/$AA$7)</f>
        <v/>
      </c>
      <c r="AB102" s="19">
        <f>IF($AB$7=0, 0, AB101/$AB$7)</f>
        <v/>
      </c>
      <c r="AC102" s="19">
        <f>IF($AC$7=0, 0, AC101/$AC$7)</f>
        <v/>
      </c>
      <c r="AD102" s="19">
        <f>IF($AD$7=0, 0, AD101/$AD$7)</f>
        <v/>
      </c>
      <c r="AE102" s="19">
        <f>IF($AE$7=0, 0, AE101/$AE$7)</f>
        <v/>
      </c>
      <c r="AF102" s="19">
        <f>IF($AF$7=0, 0, AF101/$AF$7)</f>
        <v/>
      </c>
      <c r="AG102" s="19">
        <f>IF($AG$7=0, 0, AG101/$AG$7)</f>
        <v/>
      </c>
      <c r="AH102" s="19">
        <f>IF($AH$7=0, 0, AH101/$AH$7)</f>
        <v/>
      </c>
    </row>
    <row r="103"/>
    <row r="104">
      <c r="A104" s="5" t="inlineStr">
        <is>
          <t>Other income/expenses</t>
        </is>
      </c>
      <c r="B104" s="6" t="n">
        <v>-960.0186304132221</v>
      </c>
      <c r="C104" s="6" t="n">
        <v>-4753.018630413222</v>
      </c>
      <c r="D104" s="6" t="n">
        <v>-960.0186304132221</v>
      </c>
      <c r="E104" s="6" t="n">
        <v>-960.0186304132221</v>
      </c>
      <c r="F104" s="6" t="n">
        <v>-960.0186304132221</v>
      </c>
      <c r="G104" s="6" t="n">
        <v>-960.0186304132221</v>
      </c>
      <c r="H104" s="6" t="n">
        <v>-960.0186304132221</v>
      </c>
      <c r="I104" s="6" t="n">
        <v>-960.0186304132221</v>
      </c>
      <c r="J104" s="6" t="n">
        <v>-960.0186304132221</v>
      </c>
      <c r="K104" s="6" t="n">
        <v>-960.0186304132221</v>
      </c>
      <c r="L104" s="6" t="n">
        <v>-960.0186304132221</v>
      </c>
      <c r="M104" s="6" t="n">
        <v>-960.0186304132221</v>
      </c>
      <c r="N104" s="6" t="n">
        <v>-960.0186304132221</v>
      </c>
      <c r="O104" s="6" t="n">
        <v>2555.981369586778</v>
      </c>
      <c r="P104" s="6" t="n">
        <v>-960.0186304132221</v>
      </c>
      <c r="Q104" s="6" t="n">
        <v>-960.0186304132221</v>
      </c>
      <c r="R104" s="6" t="n">
        <v>-960.0186304132221</v>
      </c>
      <c r="S104" s="6" t="n">
        <v>-960.0186304132221</v>
      </c>
      <c r="T104" s="6" t="n">
        <v>-960.0186304132221</v>
      </c>
      <c r="U104" s="6" t="n">
        <v>-960.0186304132221</v>
      </c>
      <c r="V104" s="6" t="n">
        <v>-960.0186304132221</v>
      </c>
      <c r="W104" s="6" t="n">
        <v>-960.0186304132221</v>
      </c>
      <c r="X104" s="6" t="n">
        <v>-960.0186304132221</v>
      </c>
      <c r="Y104" s="6" t="n">
        <v>-960.0186304132221</v>
      </c>
      <c r="Z104" s="6" t="n">
        <v>-960.0186304132221</v>
      </c>
      <c r="AA104" s="6" t="n">
        <v>2078.981369586778</v>
      </c>
      <c r="AB104" s="6" t="n">
        <v>-960.0186304132221</v>
      </c>
      <c r="AC104" s="6" t="n">
        <v>-960.0186304132221</v>
      </c>
      <c r="AD104" s="6" t="n">
        <v>-960.0186304132221</v>
      </c>
      <c r="AE104" s="6" t="n">
        <v>-960.0186304132221</v>
      </c>
      <c r="AF104" s="6" t="n">
        <v>-960.0186304132221</v>
      </c>
      <c r="AG104" s="6" t="n">
        <v>-960.0186304132221</v>
      </c>
      <c r="AH104" s="6" t="n">
        <v>-960.0186304132221</v>
      </c>
    </row>
    <row r="105" hidden="1" outlineLevel="1" collapsed="1">
      <c r="A105" s="10" t="inlineStr">
        <is>
          <t>Foreign currency gains/losses</t>
        </is>
      </c>
      <c r="B105" s="6" t="n">
        <v>39.9813695867779</v>
      </c>
      <c r="C105" s="6" t="n">
        <v>39.9813695867779</v>
      </c>
      <c r="D105" s="6" t="n">
        <v>39.9813695867779</v>
      </c>
      <c r="E105" s="6" t="n">
        <v>39.9813695867779</v>
      </c>
      <c r="F105" s="6" t="n">
        <v>39.9813695867779</v>
      </c>
      <c r="G105" s="6" t="n">
        <v>39.9813695867779</v>
      </c>
      <c r="H105" s="6" t="n">
        <v>39.9813695867779</v>
      </c>
      <c r="I105" s="6" t="n">
        <v>39.9813695867779</v>
      </c>
      <c r="J105" s="6" t="n">
        <v>39.9813695867779</v>
      </c>
      <c r="K105" s="6" t="n">
        <v>39.9813695867779</v>
      </c>
      <c r="L105" s="6" t="n">
        <v>39.9813695867779</v>
      </c>
      <c r="M105" s="6" t="n">
        <v>39.9813695867779</v>
      </c>
      <c r="N105" s="6" t="n">
        <v>39.9813695867779</v>
      </c>
      <c r="O105" s="6" t="n">
        <v>39.9813695867779</v>
      </c>
      <c r="P105" s="6" t="n">
        <v>39.9813695867779</v>
      </c>
      <c r="Q105" s="6" t="n">
        <v>39.9813695867779</v>
      </c>
      <c r="R105" s="6" t="n">
        <v>39.9813695867779</v>
      </c>
      <c r="S105" s="6" t="n">
        <v>39.9813695867779</v>
      </c>
      <c r="T105" s="6" t="n">
        <v>39.9813695867779</v>
      </c>
      <c r="U105" s="6" t="n">
        <v>39.9813695867779</v>
      </c>
      <c r="V105" s="6" t="n">
        <v>39.9813695867779</v>
      </c>
      <c r="W105" s="6" t="n">
        <v>39.9813695867779</v>
      </c>
      <c r="X105" s="6" t="n">
        <v>39.9813695867779</v>
      </c>
      <c r="Y105" s="6" t="n">
        <v>39.9813695867779</v>
      </c>
      <c r="Z105" s="6" t="n">
        <v>39.9813695867779</v>
      </c>
      <c r="AA105" s="6" t="n">
        <v>39.9813695867779</v>
      </c>
      <c r="AB105" s="6" t="n">
        <v>39.9813695867779</v>
      </c>
      <c r="AC105" s="6" t="n">
        <v>39.9813695867779</v>
      </c>
      <c r="AD105" s="6" t="n">
        <v>39.9813695867779</v>
      </c>
      <c r="AE105" s="6" t="n">
        <v>39.9813695867779</v>
      </c>
      <c r="AF105" s="6" t="n">
        <v>39.9813695867779</v>
      </c>
      <c r="AG105" s="6" t="n">
        <v>39.9813695867779</v>
      </c>
      <c r="AH105" s="6" t="n">
        <v>39.9813695867779</v>
      </c>
    </row>
    <row r="106" hidden="1" outlineLevel="2" collapsed="1">
      <c r="A106" s="11" t="inlineStr"/>
      <c r="B106" s="6" t="n">
        <v>39.9813695867779</v>
      </c>
      <c r="C106" s="6" t="n">
        <v>39.9813695867779</v>
      </c>
      <c r="D106" s="6" t="n">
        <v>39.9813695867779</v>
      </c>
      <c r="E106" s="6" t="n">
        <v>39.9813695867779</v>
      </c>
      <c r="F106" s="6" t="n">
        <v>39.9813695867779</v>
      </c>
      <c r="G106" s="6" t="n">
        <v>39.9813695867779</v>
      </c>
      <c r="H106" s="6" t="n">
        <v>39.9813695867779</v>
      </c>
      <c r="I106" s="6" t="n">
        <v>39.9813695867779</v>
      </c>
      <c r="J106" s="6" t="n">
        <v>39.9813695867779</v>
      </c>
      <c r="K106" s="6" t="n">
        <v>39.9813695867779</v>
      </c>
      <c r="L106" s="6" t="n">
        <v>39.9813695867779</v>
      </c>
      <c r="M106" s="6" t="n">
        <v>39.9813695867779</v>
      </c>
      <c r="N106" s="6" t="n">
        <v>39.9813695867779</v>
      </c>
      <c r="O106" s="6" t="n">
        <v>39.9813695867779</v>
      </c>
      <c r="P106" s="6" t="n">
        <v>39.9813695867779</v>
      </c>
      <c r="Q106" s="6" t="n">
        <v>39.9813695867779</v>
      </c>
      <c r="R106" s="6" t="n">
        <v>39.9813695867779</v>
      </c>
      <c r="S106" s="6" t="n">
        <v>39.9813695867779</v>
      </c>
      <c r="T106" s="6" t="n">
        <v>39.9813695867779</v>
      </c>
      <c r="U106" s="6" t="n">
        <v>39.9813695867779</v>
      </c>
      <c r="V106" s="6" t="n">
        <v>39.9813695867779</v>
      </c>
      <c r="W106" s="6" t="n">
        <v>39.9813695867779</v>
      </c>
      <c r="X106" s="6" t="n">
        <v>39.9813695867779</v>
      </c>
      <c r="Y106" s="6" t="n">
        <v>39.9813695867779</v>
      </c>
      <c r="Z106" s="6" t="n">
        <v>39.9813695867779</v>
      </c>
      <c r="AA106" s="6" t="n">
        <v>39.9813695867779</v>
      </c>
      <c r="AB106" s="6" t="n">
        <v>39.9813695867779</v>
      </c>
      <c r="AC106" s="6" t="n">
        <v>39.9813695867779</v>
      </c>
      <c r="AD106" s="6" t="n">
        <v>39.9813695867779</v>
      </c>
      <c r="AE106" s="6" t="n">
        <v>39.9813695867779</v>
      </c>
      <c r="AF106" s="6" t="n">
        <v>39.9813695867779</v>
      </c>
      <c r="AG106" s="6" t="n">
        <v>39.9813695867779</v>
      </c>
      <c r="AH106" s="6" t="n">
        <v>39.9813695867779</v>
      </c>
    </row>
    <row r="107" hidden="1" outlineLevel="3" collapsed="1">
      <c r="A107" s="12" t="inlineStr">
        <is>
          <t>7002 - Foreign currency gains/losses</t>
        </is>
      </c>
      <c r="B107" s="6" t="n">
        <v>39.9813695867779</v>
      </c>
      <c r="C107" s="6" t="n">
        <v>39.9813695867779</v>
      </c>
      <c r="D107" s="6" t="n">
        <v>39.9813695867779</v>
      </c>
      <c r="E107" s="6" t="n">
        <v>39.9813695867779</v>
      </c>
      <c r="F107" s="6" t="n">
        <v>39.9813695867779</v>
      </c>
      <c r="G107" s="6" t="n">
        <v>39.9813695867779</v>
      </c>
      <c r="H107" s="6" t="n">
        <v>39.9813695867779</v>
      </c>
      <c r="I107" s="6" t="n">
        <v>39.9813695867779</v>
      </c>
      <c r="J107" s="6" t="n">
        <v>39.9813695867779</v>
      </c>
      <c r="K107" s="6" t="n">
        <v>39.9813695867779</v>
      </c>
      <c r="L107" s="6" t="n">
        <v>39.9813695867779</v>
      </c>
      <c r="M107" s="6" t="n">
        <v>39.9813695867779</v>
      </c>
      <c r="N107" s="6" t="n">
        <v>39.9813695867779</v>
      </c>
      <c r="O107" s="6" t="n">
        <v>39.9813695867779</v>
      </c>
      <c r="P107" s="6" t="n">
        <v>39.9813695867779</v>
      </c>
      <c r="Q107" s="6" t="n">
        <v>39.9813695867779</v>
      </c>
      <c r="R107" s="6" t="n">
        <v>39.9813695867779</v>
      </c>
      <c r="S107" s="6" t="n">
        <v>39.9813695867779</v>
      </c>
      <c r="T107" s="6" t="n">
        <v>39.9813695867779</v>
      </c>
      <c r="U107" s="6" t="n">
        <v>39.9813695867779</v>
      </c>
      <c r="V107" s="6" t="n">
        <v>39.9813695867779</v>
      </c>
      <c r="W107" s="6" t="n">
        <v>39.9813695867779</v>
      </c>
      <c r="X107" s="6" t="n">
        <v>39.9813695867779</v>
      </c>
      <c r="Y107" s="6" t="n">
        <v>39.9813695867779</v>
      </c>
      <c r="Z107" s="6" t="n">
        <v>39.9813695867779</v>
      </c>
      <c r="AA107" s="6" t="n">
        <v>39.9813695867779</v>
      </c>
      <c r="AB107" s="6" t="n">
        <v>39.9813695867779</v>
      </c>
      <c r="AC107" s="6" t="n">
        <v>39.9813695867779</v>
      </c>
      <c r="AD107" s="6" t="n">
        <v>39.9813695867779</v>
      </c>
      <c r="AE107" s="6" t="n">
        <v>39.9813695867779</v>
      </c>
      <c r="AF107" s="6" t="n">
        <v>39.9813695867779</v>
      </c>
      <c r="AG107" s="6" t="n">
        <v>39.9813695867779</v>
      </c>
      <c r="AH107" s="6" t="n">
        <v>39.9813695867779</v>
      </c>
    </row>
    <row r="108" hidden="1" outlineLevel="1" collapsed="1">
      <c r="A108" s="10" t="inlineStr">
        <is>
          <t>Gains/losses on sale of equipment</t>
        </is>
      </c>
      <c r="B108" s="6" t="n">
        <v>0</v>
      </c>
      <c r="C108" s="6" t="n">
        <v>-3793</v>
      </c>
      <c r="D108" s="6" t="n">
        <v>0</v>
      </c>
      <c r="E108" s="6" t="n">
        <v>0</v>
      </c>
      <c r="F108" s="6" t="n">
        <v>0</v>
      </c>
      <c r="G108" s="6" t="n">
        <v>0</v>
      </c>
      <c r="H108" s="6" t="n">
        <v>0</v>
      </c>
      <c r="I108" s="6" t="n">
        <v>0</v>
      </c>
      <c r="J108" s="6" t="n">
        <v>0</v>
      </c>
      <c r="K108" s="6" t="n">
        <v>0</v>
      </c>
      <c r="L108" s="6" t="n">
        <v>0</v>
      </c>
      <c r="M108" s="6" t="n">
        <v>0</v>
      </c>
      <c r="N108" s="6" t="n">
        <v>0</v>
      </c>
      <c r="O108" s="6" t="n">
        <v>3516</v>
      </c>
      <c r="P108" s="6" t="n">
        <v>0</v>
      </c>
      <c r="Q108" s="6" t="n">
        <v>0</v>
      </c>
      <c r="R108" s="6" t="n">
        <v>0</v>
      </c>
      <c r="S108" s="6" t="n">
        <v>0</v>
      </c>
      <c r="T108" s="6" t="n">
        <v>0</v>
      </c>
      <c r="U108" s="6" t="n">
        <v>0</v>
      </c>
      <c r="V108" s="6" t="n">
        <v>0</v>
      </c>
      <c r="W108" s="6" t="n">
        <v>0</v>
      </c>
      <c r="X108" s="6" t="n">
        <v>0</v>
      </c>
      <c r="Y108" s="6" t="n">
        <v>0</v>
      </c>
      <c r="Z108" s="6" t="n">
        <v>0</v>
      </c>
      <c r="AA108" s="6" t="n">
        <v>3039</v>
      </c>
      <c r="AB108" s="6" t="n">
        <v>0</v>
      </c>
      <c r="AC108" s="6" t="n">
        <v>0</v>
      </c>
      <c r="AD108" s="6" t="n">
        <v>0</v>
      </c>
      <c r="AE108" s="6" t="n">
        <v>0</v>
      </c>
      <c r="AF108" s="6" t="n">
        <v>0</v>
      </c>
      <c r="AG108" s="6" t="n">
        <v>0</v>
      </c>
      <c r="AH108" s="6" t="n">
        <v>0</v>
      </c>
    </row>
    <row r="109" hidden="1" outlineLevel="2" collapsed="1">
      <c r="A109" s="11" t="inlineStr"/>
      <c r="B109" s="6" t="n">
        <v>0</v>
      </c>
      <c r="C109" s="6" t="n">
        <v>-3793</v>
      </c>
      <c r="D109" s="6" t="n">
        <v>0</v>
      </c>
      <c r="E109" s="6" t="n">
        <v>0</v>
      </c>
      <c r="F109" s="6" t="n">
        <v>0</v>
      </c>
      <c r="G109" s="6" t="n">
        <v>0</v>
      </c>
      <c r="H109" s="6" t="n">
        <v>0</v>
      </c>
      <c r="I109" s="6" t="n">
        <v>0</v>
      </c>
      <c r="J109" s="6" t="n">
        <v>0</v>
      </c>
      <c r="K109" s="6" t="n">
        <v>0</v>
      </c>
      <c r="L109" s="6" t="n">
        <v>0</v>
      </c>
      <c r="M109" s="6" t="n">
        <v>0</v>
      </c>
      <c r="N109" s="6" t="n">
        <v>0</v>
      </c>
      <c r="O109" s="6" t="n">
        <v>3516</v>
      </c>
      <c r="P109" s="6" t="n">
        <v>0</v>
      </c>
      <c r="Q109" s="6" t="n">
        <v>0</v>
      </c>
      <c r="R109" s="6" t="n">
        <v>0</v>
      </c>
      <c r="S109" s="6" t="n">
        <v>0</v>
      </c>
      <c r="T109" s="6" t="n">
        <v>0</v>
      </c>
      <c r="U109" s="6" t="n">
        <v>0</v>
      </c>
      <c r="V109" s="6" t="n">
        <v>0</v>
      </c>
      <c r="W109" s="6" t="n">
        <v>0</v>
      </c>
      <c r="X109" s="6" t="n">
        <v>0</v>
      </c>
      <c r="Y109" s="6" t="n">
        <v>0</v>
      </c>
      <c r="Z109" s="6" t="n">
        <v>0</v>
      </c>
      <c r="AA109" s="6" t="n">
        <v>3039</v>
      </c>
      <c r="AB109" s="6" t="n">
        <v>0</v>
      </c>
      <c r="AC109" s="6" t="n">
        <v>0</v>
      </c>
      <c r="AD109" s="6" t="n">
        <v>0</v>
      </c>
      <c r="AE109" s="6" t="n">
        <v>0</v>
      </c>
      <c r="AF109" s="6" t="n">
        <v>0</v>
      </c>
      <c r="AG109" s="6" t="n">
        <v>0</v>
      </c>
      <c r="AH109" s="6" t="n">
        <v>0</v>
      </c>
    </row>
    <row r="110" hidden="1" outlineLevel="3" collapsed="1">
      <c r="A110" s="12" t="inlineStr">
        <is>
          <t>7001 - Gains/losses on sale of equipment</t>
        </is>
      </c>
      <c r="B110" s="6" t="n">
        <v>0</v>
      </c>
      <c r="C110" s="6" t="n">
        <v>-3793</v>
      </c>
      <c r="D110" s="6" t="n">
        <v>0</v>
      </c>
      <c r="E110" s="6" t="n">
        <v>0</v>
      </c>
      <c r="F110" s="6" t="n">
        <v>0</v>
      </c>
      <c r="G110" s="6" t="n">
        <v>0</v>
      </c>
      <c r="H110" s="6" t="n">
        <v>0</v>
      </c>
      <c r="I110" s="6" t="n">
        <v>0</v>
      </c>
      <c r="J110" s="6" t="n">
        <v>0</v>
      </c>
      <c r="K110" s="6" t="n">
        <v>0</v>
      </c>
      <c r="L110" s="6" t="n">
        <v>0</v>
      </c>
      <c r="M110" s="6" t="n">
        <v>0</v>
      </c>
      <c r="N110" s="6" t="n">
        <v>0</v>
      </c>
      <c r="O110" s="6" t="n">
        <v>3516</v>
      </c>
      <c r="P110" s="6" t="n">
        <v>0</v>
      </c>
      <c r="Q110" s="6" t="n">
        <v>0</v>
      </c>
      <c r="R110" s="6" t="n">
        <v>0</v>
      </c>
      <c r="S110" s="6" t="n">
        <v>0</v>
      </c>
      <c r="T110" s="6" t="n">
        <v>0</v>
      </c>
      <c r="U110" s="6" t="n">
        <v>0</v>
      </c>
      <c r="V110" s="6" t="n">
        <v>0</v>
      </c>
      <c r="W110" s="6" t="n">
        <v>0</v>
      </c>
      <c r="X110" s="6" t="n">
        <v>0</v>
      </c>
      <c r="Y110" s="6" t="n">
        <v>0</v>
      </c>
      <c r="Z110" s="6" t="n">
        <v>0</v>
      </c>
      <c r="AA110" s="6" t="n">
        <v>3039</v>
      </c>
      <c r="AB110" s="6" t="n">
        <v>0</v>
      </c>
      <c r="AC110" s="6" t="n">
        <v>0</v>
      </c>
      <c r="AD110" s="6" t="n">
        <v>0</v>
      </c>
      <c r="AE110" s="6" t="n">
        <v>0</v>
      </c>
      <c r="AF110" s="6" t="n">
        <v>0</v>
      </c>
      <c r="AG110" s="6" t="n">
        <v>0</v>
      </c>
      <c r="AH110" s="6" t="n">
        <v>0</v>
      </c>
    </row>
    <row r="111" hidden="1" outlineLevel="1" collapsed="1">
      <c r="A111" s="10" t="inlineStr">
        <is>
          <t>Investment income</t>
        </is>
      </c>
      <c r="B111" s="6" t="n">
        <v>-1000</v>
      </c>
      <c r="C111" s="6" t="n">
        <v>-1000</v>
      </c>
      <c r="D111" s="6" t="n">
        <v>-1000</v>
      </c>
      <c r="E111" s="6" t="n">
        <v>-1000</v>
      </c>
      <c r="F111" s="6" t="n">
        <v>-1000</v>
      </c>
      <c r="G111" s="6" t="n">
        <v>-1000</v>
      </c>
      <c r="H111" s="6" t="n">
        <v>-1000</v>
      </c>
      <c r="I111" s="6" t="n">
        <v>-1000</v>
      </c>
      <c r="J111" s="6" t="n">
        <v>-1000</v>
      </c>
      <c r="K111" s="6" t="n">
        <v>-1000</v>
      </c>
      <c r="L111" s="6" t="n">
        <v>-1000</v>
      </c>
      <c r="M111" s="6" t="n">
        <v>-1000</v>
      </c>
      <c r="N111" s="6" t="n">
        <v>-1000</v>
      </c>
      <c r="O111" s="6" t="n">
        <v>-1000</v>
      </c>
      <c r="P111" s="6" t="n">
        <v>-1000</v>
      </c>
      <c r="Q111" s="6" t="n">
        <v>-1000</v>
      </c>
      <c r="R111" s="6" t="n">
        <v>-1000</v>
      </c>
      <c r="S111" s="6" t="n">
        <v>-1000</v>
      </c>
      <c r="T111" s="6" t="n">
        <v>-1000</v>
      </c>
      <c r="U111" s="6" t="n">
        <v>-1000</v>
      </c>
      <c r="V111" s="6" t="n">
        <v>-1000</v>
      </c>
      <c r="W111" s="6" t="n">
        <v>-1000</v>
      </c>
      <c r="X111" s="6" t="n">
        <v>-1000</v>
      </c>
      <c r="Y111" s="6" t="n">
        <v>-1000</v>
      </c>
      <c r="Z111" s="6" t="n">
        <v>-1000</v>
      </c>
      <c r="AA111" s="6" t="n">
        <v>-1000</v>
      </c>
      <c r="AB111" s="6" t="n">
        <v>-1000</v>
      </c>
      <c r="AC111" s="6" t="n">
        <v>-1000</v>
      </c>
      <c r="AD111" s="6" t="n">
        <v>-1000</v>
      </c>
      <c r="AE111" s="6" t="n">
        <v>-1000</v>
      </c>
      <c r="AF111" s="6" t="n">
        <v>-1000</v>
      </c>
      <c r="AG111" s="6" t="n">
        <v>-1000</v>
      </c>
      <c r="AH111" s="6" t="n">
        <v>-1000</v>
      </c>
    </row>
    <row r="112" hidden="1" outlineLevel="2" collapsed="1">
      <c r="A112" s="11" t="inlineStr"/>
      <c r="B112" s="6" t="n">
        <v>-1000</v>
      </c>
      <c r="C112" s="6" t="n">
        <v>-1000</v>
      </c>
      <c r="D112" s="6" t="n">
        <v>-1000</v>
      </c>
      <c r="E112" s="6" t="n">
        <v>-1000</v>
      </c>
      <c r="F112" s="6" t="n">
        <v>-1000</v>
      </c>
      <c r="G112" s="6" t="n">
        <v>-1000</v>
      </c>
      <c r="H112" s="6" t="n">
        <v>-1000</v>
      </c>
      <c r="I112" s="6" t="n">
        <v>-1000</v>
      </c>
      <c r="J112" s="6" t="n">
        <v>-1000</v>
      </c>
      <c r="K112" s="6" t="n">
        <v>-1000</v>
      </c>
      <c r="L112" s="6" t="n">
        <v>-1000</v>
      </c>
      <c r="M112" s="6" t="n">
        <v>-1000</v>
      </c>
      <c r="N112" s="6" t="n">
        <v>-1000</v>
      </c>
      <c r="O112" s="6" t="n">
        <v>-1000</v>
      </c>
      <c r="P112" s="6" t="n">
        <v>-1000</v>
      </c>
      <c r="Q112" s="6" t="n">
        <v>-1000</v>
      </c>
      <c r="R112" s="6" t="n">
        <v>-1000</v>
      </c>
      <c r="S112" s="6" t="n">
        <v>-1000</v>
      </c>
      <c r="T112" s="6" t="n">
        <v>-1000</v>
      </c>
      <c r="U112" s="6" t="n">
        <v>-1000</v>
      </c>
      <c r="V112" s="6" t="n">
        <v>-1000</v>
      </c>
      <c r="W112" s="6" t="n">
        <v>-1000</v>
      </c>
      <c r="X112" s="6" t="n">
        <v>-1000</v>
      </c>
      <c r="Y112" s="6" t="n">
        <v>-1000</v>
      </c>
      <c r="Z112" s="6" t="n">
        <v>-1000</v>
      </c>
      <c r="AA112" s="6" t="n">
        <v>-1000</v>
      </c>
      <c r="AB112" s="6" t="n">
        <v>-1000</v>
      </c>
      <c r="AC112" s="6" t="n">
        <v>-1000</v>
      </c>
      <c r="AD112" s="6" t="n">
        <v>-1000</v>
      </c>
      <c r="AE112" s="6" t="n">
        <v>-1000</v>
      </c>
      <c r="AF112" s="6" t="n">
        <v>-1000</v>
      </c>
      <c r="AG112" s="6" t="n">
        <v>-1000</v>
      </c>
      <c r="AH112" s="6" t="n">
        <v>-1000</v>
      </c>
    </row>
    <row r="113" hidden="1" outlineLevel="3" collapsed="1">
      <c r="A113" s="12" t="inlineStr">
        <is>
          <t>7000 - Investment income</t>
        </is>
      </c>
      <c r="B113" s="6" t="n">
        <v>-1000</v>
      </c>
      <c r="C113" s="6" t="n">
        <v>-1000</v>
      </c>
      <c r="D113" s="6" t="n">
        <v>-1000</v>
      </c>
      <c r="E113" s="6" t="n">
        <v>-1000</v>
      </c>
      <c r="F113" s="6" t="n">
        <v>-1000</v>
      </c>
      <c r="G113" s="6" t="n">
        <v>-1000</v>
      </c>
      <c r="H113" s="6" t="n">
        <v>-1000</v>
      </c>
      <c r="I113" s="6" t="n">
        <v>-1000</v>
      </c>
      <c r="J113" s="6" t="n">
        <v>-1000</v>
      </c>
      <c r="K113" s="6" t="n">
        <v>-1000</v>
      </c>
      <c r="L113" s="6" t="n">
        <v>-1000</v>
      </c>
      <c r="M113" s="6" t="n">
        <v>-1000</v>
      </c>
      <c r="N113" s="6" t="n">
        <v>-1000</v>
      </c>
      <c r="O113" s="6" t="n">
        <v>-1000</v>
      </c>
      <c r="P113" s="6" t="n">
        <v>-1000</v>
      </c>
      <c r="Q113" s="6" t="n">
        <v>-1000</v>
      </c>
      <c r="R113" s="6" t="n">
        <v>-1000</v>
      </c>
      <c r="S113" s="6" t="n">
        <v>-1000</v>
      </c>
      <c r="T113" s="6" t="n">
        <v>-1000</v>
      </c>
      <c r="U113" s="6" t="n">
        <v>-1000</v>
      </c>
      <c r="V113" s="6" t="n">
        <v>-1000</v>
      </c>
      <c r="W113" s="6" t="n">
        <v>-1000</v>
      </c>
      <c r="X113" s="6" t="n">
        <v>-1000</v>
      </c>
      <c r="Y113" s="6" t="n">
        <v>-1000</v>
      </c>
      <c r="Z113" s="6" t="n">
        <v>-1000</v>
      </c>
      <c r="AA113" s="6" t="n">
        <v>-1000</v>
      </c>
      <c r="AB113" s="6" t="n">
        <v>-1000</v>
      </c>
      <c r="AC113" s="6" t="n">
        <v>-1000</v>
      </c>
      <c r="AD113" s="6" t="n">
        <v>-1000</v>
      </c>
      <c r="AE113" s="6" t="n">
        <v>-1000</v>
      </c>
      <c r="AF113" s="6" t="n">
        <v>-1000</v>
      </c>
      <c r="AG113" s="6" t="n">
        <v>-1000</v>
      </c>
      <c r="AH113" s="6" t="n">
        <v>-1000</v>
      </c>
    </row>
    <row r="114"/>
    <row r="115">
      <c r="A115" s="13" t="inlineStr">
        <is>
          <t>Net Income Before Taxes</t>
        </is>
      </c>
      <c r="B115" s="14">
        <f>B101-B104</f>
        <v/>
      </c>
      <c r="C115" s="14">
        <f>C101-C104</f>
        <v/>
      </c>
      <c r="D115" s="14">
        <f>D101-D104</f>
        <v/>
      </c>
      <c r="E115" s="14">
        <f>E101-E104</f>
        <v/>
      </c>
      <c r="F115" s="14">
        <f>F101-F104</f>
        <v/>
      </c>
      <c r="G115" s="14">
        <f>G101-G104</f>
        <v/>
      </c>
      <c r="H115" s="14">
        <f>H101-H104</f>
        <v/>
      </c>
      <c r="I115" s="14">
        <f>I101-I104</f>
        <v/>
      </c>
      <c r="J115" s="14">
        <f>J101-J104</f>
        <v/>
      </c>
      <c r="K115" s="14">
        <f>K101-K104</f>
        <v/>
      </c>
      <c r="L115" s="14">
        <f>L101-L104</f>
        <v/>
      </c>
      <c r="M115" s="14">
        <f>M101-M104</f>
        <v/>
      </c>
      <c r="N115" s="14">
        <f>N101-N104</f>
        <v/>
      </c>
      <c r="O115" s="14">
        <f>O101-O104</f>
        <v/>
      </c>
      <c r="P115" s="14">
        <f>P101-P104</f>
        <v/>
      </c>
      <c r="Q115" s="14">
        <f>Q101-Q104</f>
        <v/>
      </c>
      <c r="R115" s="14">
        <f>R101-R104</f>
        <v/>
      </c>
      <c r="S115" s="14">
        <f>S101-S104</f>
        <v/>
      </c>
      <c r="T115" s="14">
        <f>T101-T104</f>
        <v/>
      </c>
      <c r="U115" s="14">
        <f>U101-U104</f>
        <v/>
      </c>
      <c r="V115" s="14">
        <f>V101-V104</f>
        <v/>
      </c>
      <c r="W115" s="14">
        <f>W101-W104</f>
        <v/>
      </c>
      <c r="X115" s="14">
        <f>X101-X104</f>
        <v/>
      </c>
      <c r="Y115" s="14">
        <f>Y101-Y104</f>
        <v/>
      </c>
      <c r="Z115" s="14">
        <f>Z101-Z104</f>
        <v/>
      </c>
      <c r="AA115" s="14">
        <f>AA101-AA104</f>
        <v/>
      </c>
      <c r="AB115" s="14">
        <f>AB101-AB104</f>
        <v/>
      </c>
      <c r="AC115" s="14">
        <f>AC101-AC104</f>
        <v/>
      </c>
      <c r="AD115" s="14">
        <f>AD101-AD104</f>
        <v/>
      </c>
      <c r="AE115" s="14">
        <f>AE101-AE104</f>
        <v/>
      </c>
      <c r="AF115" s="14">
        <f>AF101-AF104</f>
        <v/>
      </c>
      <c r="AG115" s="14">
        <f>AG101-AG104</f>
        <v/>
      </c>
      <c r="AH115" s="14">
        <f>AH101-AH104</f>
        <v/>
      </c>
      <c r="AI115" s="13" t="n"/>
      <c r="AJ115" s="13" t="n"/>
      <c r="AK115" s="13" t="n"/>
      <c r="AL115" s="13" t="n"/>
      <c r="AM115" s="13" t="n"/>
      <c r="AN115" s="13" t="n"/>
      <c r="AO115" s="13" t="n"/>
      <c r="AP115" s="13" t="n"/>
      <c r="AQ115" s="13" t="n"/>
      <c r="AR115" s="13" t="n"/>
      <c r="AS115" s="13" t="n"/>
      <c r="AT115" s="13" t="n"/>
      <c r="AU115" s="13" t="n"/>
      <c r="AV115" s="13" t="n"/>
      <c r="AW115" s="13" t="n"/>
      <c r="AX115" s="13" t="n"/>
      <c r="AY115" s="13" t="n"/>
      <c r="AZ115" s="13" t="n"/>
      <c r="BA115" s="13" t="n"/>
      <c r="BB115" s="13" t="n"/>
      <c r="BC115" s="13" t="n"/>
      <c r="BD115" s="13" t="n"/>
      <c r="BE115" s="13" t="n"/>
      <c r="BF115" s="13" t="n"/>
      <c r="BG115" s="13" t="n"/>
      <c r="BH115" s="13" t="n"/>
      <c r="BI115" s="13" t="n"/>
      <c r="BJ115" s="13" t="n"/>
      <c r="BK115" s="13" t="n"/>
      <c r="BL115" s="13" t="n"/>
      <c r="BM115" s="13" t="n"/>
      <c r="BN115" s="13" t="n"/>
      <c r="BO115" s="13" t="n"/>
    </row>
    <row r="116">
      <c r="A116" s="21" t="inlineStr">
        <is>
          <t>Net Income Before Taxes (%)</t>
        </is>
      </c>
      <c r="B116" s="19">
        <f>IF($B$7=0, 0, B115/$B$7)</f>
        <v/>
      </c>
      <c r="C116" s="19">
        <f>IF($C$7=0, 0, C115/$C$7)</f>
        <v/>
      </c>
      <c r="D116" s="19">
        <f>IF($D$7=0, 0, D115/$D$7)</f>
        <v/>
      </c>
      <c r="E116" s="19">
        <f>IF($E$7=0, 0, E115/$E$7)</f>
        <v/>
      </c>
      <c r="F116" s="19">
        <f>IF($F$7=0, 0, F115/$F$7)</f>
        <v/>
      </c>
      <c r="G116" s="19">
        <f>IF($G$7=0, 0, G115/$G$7)</f>
        <v/>
      </c>
      <c r="H116" s="19">
        <f>IF($H$7=0, 0, H115/$H$7)</f>
        <v/>
      </c>
      <c r="I116" s="19">
        <f>IF($I$7=0, 0, I115/$I$7)</f>
        <v/>
      </c>
      <c r="J116" s="19">
        <f>IF($J$7=0, 0, J115/$J$7)</f>
        <v/>
      </c>
      <c r="K116" s="19">
        <f>IF($K$7=0, 0, K115/$K$7)</f>
        <v/>
      </c>
      <c r="L116" s="19">
        <f>IF($L$7=0, 0, L115/$L$7)</f>
        <v/>
      </c>
      <c r="M116" s="19">
        <f>IF($M$7=0, 0, M115/$M$7)</f>
        <v/>
      </c>
      <c r="N116" s="19">
        <f>IF($N$7=0, 0, N115/$N$7)</f>
        <v/>
      </c>
      <c r="O116" s="19">
        <f>IF($O$7=0, 0, O115/$O$7)</f>
        <v/>
      </c>
      <c r="P116" s="19">
        <f>IF($P$7=0, 0, P115/$P$7)</f>
        <v/>
      </c>
      <c r="Q116" s="19">
        <f>IF($Q$7=0, 0, Q115/$Q$7)</f>
        <v/>
      </c>
      <c r="R116" s="19">
        <f>IF($R$7=0, 0, R115/$R$7)</f>
        <v/>
      </c>
      <c r="S116" s="19">
        <f>IF($S$7=0, 0, S115/$S$7)</f>
        <v/>
      </c>
      <c r="T116" s="19">
        <f>IF($T$7=0, 0, T115/$T$7)</f>
        <v/>
      </c>
      <c r="U116" s="19">
        <f>IF($U$7=0, 0, U115/$U$7)</f>
        <v/>
      </c>
      <c r="V116" s="19">
        <f>IF($V$7=0, 0, V115/$V$7)</f>
        <v/>
      </c>
      <c r="W116" s="19">
        <f>IF($W$7=0, 0, W115/$W$7)</f>
        <v/>
      </c>
      <c r="X116" s="19">
        <f>IF($X$7=0, 0, X115/$X$7)</f>
        <v/>
      </c>
      <c r="Y116" s="19">
        <f>IF($Y$7=0, 0, Y115/$Y$7)</f>
        <v/>
      </c>
      <c r="Z116" s="19">
        <f>IF($Z$7=0, 0, Z115/$Z$7)</f>
        <v/>
      </c>
      <c r="AA116" s="19">
        <f>IF($AA$7=0, 0, AA115/$AA$7)</f>
        <v/>
      </c>
      <c r="AB116" s="19">
        <f>IF($AB$7=0, 0, AB115/$AB$7)</f>
        <v/>
      </c>
      <c r="AC116" s="19">
        <f>IF($AC$7=0, 0, AC115/$AC$7)</f>
        <v/>
      </c>
      <c r="AD116" s="19">
        <f>IF($AD$7=0, 0, AD115/$AD$7)</f>
        <v/>
      </c>
      <c r="AE116" s="19">
        <f>IF($AE$7=0, 0, AE115/$AE$7)</f>
        <v/>
      </c>
      <c r="AF116" s="19">
        <f>IF($AF$7=0, 0, AF115/$AF$7)</f>
        <v/>
      </c>
      <c r="AG116" s="19">
        <f>IF($AG$7=0, 0, AG115/$AG$7)</f>
        <v/>
      </c>
      <c r="AH116" s="19">
        <f>IF($AH$7=0, 0, AH115/$AH$7)</f>
        <v/>
      </c>
    </row>
    <row r="117"/>
    <row r="118">
      <c r="A118" s="5" t="inlineStr">
        <is>
          <t>Income taxes</t>
        </is>
      </c>
      <c r="B118" s="6" t="n">
        <v>4000</v>
      </c>
      <c r="C118" s="6" t="n">
        <v>4000</v>
      </c>
      <c r="D118" s="6" t="n">
        <v>4000</v>
      </c>
      <c r="E118" s="6" t="n">
        <v>4000</v>
      </c>
      <c r="F118" s="6" t="n">
        <v>4000</v>
      </c>
      <c r="G118" s="6" t="n">
        <v>4000</v>
      </c>
      <c r="H118" s="6" t="n">
        <v>4000</v>
      </c>
      <c r="I118" s="6" t="n">
        <v>4000</v>
      </c>
      <c r="J118" s="6" t="n">
        <v>4000</v>
      </c>
      <c r="K118" s="6" t="n">
        <v>4000</v>
      </c>
      <c r="L118" s="6" t="n">
        <v>4000</v>
      </c>
      <c r="M118" s="6" t="n">
        <v>4000</v>
      </c>
      <c r="N118" s="6" t="n">
        <v>4000</v>
      </c>
      <c r="O118" s="6" t="n">
        <v>4000</v>
      </c>
      <c r="P118" s="6" t="n">
        <v>4000</v>
      </c>
      <c r="Q118" s="6" t="n">
        <v>4000</v>
      </c>
      <c r="R118" s="6" t="n">
        <v>4000</v>
      </c>
      <c r="S118" s="6" t="n">
        <v>4000</v>
      </c>
      <c r="T118" s="6" t="n">
        <v>4000</v>
      </c>
      <c r="U118" s="6" t="n">
        <v>4000</v>
      </c>
      <c r="V118" s="6" t="n">
        <v>4000</v>
      </c>
      <c r="W118" s="6" t="n">
        <v>4000</v>
      </c>
      <c r="X118" s="6" t="n">
        <v>4000</v>
      </c>
      <c r="Y118" s="6" t="n">
        <v>4000</v>
      </c>
      <c r="Z118" s="6" t="n">
        <v>4000</v>
      </c>
      <c r="AA118" s="6" t="n">
        <v>4000</v>
      </c>
      <c r="AB118" s="6" t="n">
        <v>4000</v>
      </c>
      <c r="AC118" s="6" t="n">
        <v>4000</v>
      </c>
      <c r="AD118" s="6" t="n">
        <v>4000</v>
      </c>
      <c r="AE118" s="6" t="n">
        <v>4000</v>
      </c>
      <c r="AF118" s="6" t="n">
        <v>4000</v>
      </c>
      <c r="AG118" s="6" t="n">
        <v>4000</v>
      </c>
      <c r="AH118" s="6" t="n">
        <v>4000</v>
      </c>
    </row>
    <row r="119" hidden="1" outlineLevel="1" collapsed="1">
      <c r="A119" s="10" t="inlineStr">
        <is>
          <t>Income taxes</t>
        </is>
      </c>
      <c r="B119" s="6" t="n">
        <v>4000</v>
      </c>
      <c r="C119" s="6" t="n">
        <v>4000</v>
      </c>
      <c r="D119" s="6" t="n">
        <v>4000</v>
      </c>
      <c r="E119" s="6" t="n">
        <v>4000</v>
      </c>
      <c r="F119" s="6" t="n">
        <v>4000</v>
      </c>
      <c r="G119" s="6" t="n">
        <v>4000</v>
      </c>
      <c r="H119" s="6" t="n">
        <v>4000</v>
      </c>
      <c r="I119" s="6" t="n">
        <v>4000</v>
      </c>
      <c r="J119" s="6" t="n">
        <v>4000</v>
      </c>
      <c r="K119" s="6" t="n">
        <v>4000</v>
      </c>
      <c r="L119" s="6" t="n">
        <v>4000</v>
      </c>
      <c r="M119" s="6" t="n">
        <v>4000</v>
      </c>
      <c r="N119" s="6" t="n">
        <v>4000</v>
      </c>
      <c r="O119" s="6" t="n">
        <v>4000</v>
      </c>
      <c r="P119" s="6" t="n">
        <v>4000</v>
      </c>
      <c r="Q119" s="6" t="n">
        <v>4000</v>
      </c>
      <c r="R119" s="6" t="n">
        <v>4000</v>
      </c>
      <c r="S119" s="6" t="n">
        <v>4000</v>
      </c>
      <c r="T119" s="6" t="n">
        <v>4000</v>
      </c>
      <c r="U119" s="6" t="n">
        <v>4000</v>
      </c>
      <c r="V119" s="6" t="n">
        <v>4000</v>
      </c>
      <c r="W119" s="6" t="n">
        <v>4000</v>
      </c>
      <c r="X119" s="6" t="n">
        <v>4000</v>
      </c>
      <c r="Y119" s="6" t="n">
        <v>4000</v>
      </c>
      <c r="Z119" s="6" t="n">
        <v>4000</v>
      </c>
      <c r="AA119" s="6" t="n">
        <v>4000</v>
      </c>
      <c r="AB119" s="6" t="n">
        <v>4000</v>
      </c>
      <c r="AC119" s="6" t="n">
        <v>4000</v>
      </c>
      <c r="AD119" s="6" t="n">
        <v>4000</v>
      </c>
      <c r="AE119" s="6" t="n">
        <v>4000</v>
      </c>
      <c r="AF119" s="6" t="n">
        <v>4000</v>
      </c>
      <c r="AG119" s="6" t="n">
        <v>4000</v>
      </c>
      <c r="AH119" s="6" t="n">
        <v>4000</v>
      </c>
    </row>
    <row r="120" hidden="1" outlineLevel="2" collapsed="1">
      <c r="A120" s="11" t="inlineStr"/>
      <c r="B120" s="6" t="n">
        <v>4000</v>
      </c>
      <c r="C120" s="6" t="n">
        <v>4000</v>
      </c>
      <c r="D120" s="6" t="n">
        <v>4000</v>
      </c>
      <c r="E120" s="6" t="n">
        <v>4000</v>
      </c>
      <c r="F120" s="6" t="n">
        <v>4000</v>
      </c>
      <c r="G120" s="6" t="n">
        <v>4000</v>
      </c>
      <c r="H120" s="6" t="n">
        <v>4000</v>
      </c>
      <c r="I120" s="6" t="n">
        <v>4000</v>
      </c>
      <c r="J120" s="6" t="n">
        <v>4000</v>
      </c>
      <c r="K120" s="6" t="n">
        <v>4000</v>
      </c>
      <c r="L120" s="6" t="n">
        <v>4000</v>
      </c>
      <c r="M120" s="6" t="n">
        <v>4000</v>
      </c>
      <c r="N120" s="6" t="n">
        <v>4000</v>
      </c>
      <c r="O120" s="6" t="n">
        <v>4000</v>
      </c>
      <c r="P120" s="6" t="n">
        <v>4000</v>
      </c>
      <c r="Q120" s="6" t="n">
        <v>4000</v>
      </c>
      <c r="R120" s="6" t="n">
        <v>4000</v>
      </c>
      <c r="S120" s="6" t="n">
        <v>4000</v>
      </c>
      <c r="T120" s="6" t="n">
        <v>4000</v>
      </c>
      <c r="U120" s="6" t="n">
        <v>4000</v>
      </c>
      <c r="V120" s="6" t="n">
        <v>4000</v>
      </c>
      <c r="W120" s="6" t="n">
        <v>4000</v>
      </c>
      <c r="X120" s="6" t="n">
        <v>4000</v>
      </c>
      <c r="Y120" s="6" t="n">
        <v>4000</v>
      </c>
      <c r="Z120" s="6" t="n">
        <v>4000</v>
      </c>
      <c r="AA120" s="6" t="n">
        <v>4000</v>
      </c>
      <c r="AB120" s="6" t="n">
        <v>4000</v>
      </c>
      <c r="AC120" s="6" t="n">
        <v>4000</v>
      </c>
      <c r="AD120" s="6" t="n">
        <v>4000</v>
      </c>
      <c r="AE120" s="6" t="n">
        <v>4000</v>
      </c>
      <c r="AF120" s="6" t="n">
        <v>4000</v>
      </c>
      <c r="AG120" s="6" t="n">
        <v>4000</v>
      </c>
      <c r="AH120" s="6" t="n">
        <v>4000</v>
      </c>
    </row>
    <row r="121" hidden="1" outlineLevel="3" collapsed="1">
      <c r="A121" s="12" t="inlineStr">
        <is>
          <t>8000 - Income taxes</t>
        </is>
      </c>
      <c r="B121" s="6" t="n">
        <v>4000</v>
      </c>
      <c r="C121" s="6" t="n">
        <v>4000</v>
      </c>
      <c r="D121" s="6" t="n">
        <v>4000</v>
      </c>
      <c r="E121" s="6" t="n">
        <v>4000</v>
      </c>
      <c r="F121" s="6" t="n">
        <v>4000</v>
      </c>
      <c r="G121" s="6" t="n">
        <v>4000</v>
      </c>
      <c r="H121" s="6" t="n">
        <v>4000</v>
      </c>
      <c r="I121" s="6" t="n">
        <v>4000</v>
      </c>
      <c r="J121" s="6" t="n">
        <v>4000</v>
      </c>
      <c r="K121" s="6" t="n">
        <v>4000</v>
      </c>
      <c r="L121" s="6" t="n">
        <v>4000</v>
      </c>
      <c r="M121" s="6" t="n">
        <v>4000</v>
      </c>
      <c r="N121" s="6" t="n">
        <v>4000</v>
      </c>
      <c r="O121" s="6" t="n">
        <v>4000</v>
      </c>
      <c r="P121" s="6" t="n">
        <v>4000</v>
      </c>
      <c r="Q121" s="6" t="n">
        <v>4000</v>
      </c>
      <c r="R121" s="6" t="n">
        <v>4000</v>
      </c>
      <c r="S121" s="6" t="n">
        <v>4000</v>
      </c>
      <c r="T121" s="6" t="n">
        <v>4000</v>
      </c>
      <c r="U121" s="6" t="n">
        <v>4000</v>
      </c>
      <c r="V121" s="6" t="n">
        <v>4000</v>
      </c>
      <c r="W121" s="6" t="n">
        <v>4000</v>
      </c>
      <c r="X121" s="6" t="n">
        <v>4000</v>
      </c>
      <c r="Y121" s="6" t="n">
        <v>4000</v>
      </c>
      <c r="Z121" s="6" t="n">
        <v>4000</v>
      </c>
      <c r="AA121" s="6" t="n">
        <v>4000</v>
      </c>
      <c r="AB121" s="6" t="n">
        <v>4000</v>
      </c>
      <c r="AC121" s="6" t="n">
        <v>4000</v>
      </c>
      <c r="AD121" s="6" t="n">
        <v>4000</v>
      </c>
      <c r="AE121" s="6" t="n">
        <v>4000</v>
      </c>
      <c r="AF121" s="6" t="n">
        <v>4000</v>
      </c>
      <c r="AG121" s="6" t="n">
        <v>4000</v>
      </c>
      <c r="AH121" s="6" t="n">
        <v>4000</v>
      </c>
    </row>
    <row r="122"/>
    <row r="123">
      <c r="A123" s="13" t="inlineStr">
        <is>
          <t>Net Income</t>
        </is>
      </c>
      <c r="B123" s="14">
        <f>B115-B118</f>
        <v/>
      </c>
      <c r="C123" s="14">
        <f>C115-C118</f>
        <v/>
      </c>
      <c r="D123" s="14">
        <f>D115-D118</f>
        <v/>
      </c>
      <c r="E123" s="14">
        <f>E115-E118</f>
        <v/>
      </c>
      <c r="F123" s="14">
        <f>F115-F118</f>
        <v/>
      </c>
      <c r="G123" s="14">
        <f>G115-G118</f>
        <v/>
      </c>
      <c r="H123" s="14">
        <f>H115-H118</f>
        <v/>
      </c>
      <c r="I123" s="14">
        <f>I115-I118</f>
        <v/>
      </c>
      <c r="J123" s="14">
        <f>J115-J118</f>
        <v/>
      </c>
      <c r="K123" s="14">
        <f>K115-K118</f>
        <v/>
      </c>
      <c r="L123" s="14">
        <f>L115-L118</f>
        <v/>
      </c>
      <c r="M123" s="14">
        <f>M115-M118</f>
        <v/>
      </c>
      <c r="N123" s="14">
        <f>N115-N118</f>
        <v/>
      </c>
      <c r="O123" s="14">
        <f>O115-O118</f>
        <v/>
      </c>
      <c r="P123" s="14">
        <f>P115-P118</f>
        <v/>
      </c>
      <c r="Q123" s="14">
        <f>Q115-Q118</f>
        <v/>
      </c>
      <c r="R123" s="14">
        <f>R115-R118</f>
        <v/>
      </c>
      <c r="S123" s="14">
        <f>S115-S118</f>
        <v/>
      </c>
      <c r="T123" s="14">
        <f>T115-T118</f>
        <v/>
      </c>
      <c r="U123" s="14">
        <f>U115-U118</f>
        <v/>
      </c>
      <c r="V123" s="14">
        <f>V115-V118</f>
        <v/>
      </c>
      <c r="W123" s="14">
        <f>W115-W118</f>
        <v/>
      </c>
      <c r="X123" s="14">
        <f>X115-X118</f>
        <v/>
      </c>
      <c r="Y123" s="14">
        <f>Y115-Y118</f>
        <v/>
      </c>
      <c r="Z123" s="14">
        <f>Z115-Z118</f>
        <v/>
      </c>
      <c r="AA123" s="14">
        <f>AA115-AA118</f>
        <v/>
      </c>
      <c r="AB123" s="14">
        <f>AB115-AB118</f>
        <v/>
      </c>
      <c r="AC123" s="14">
        <f>AC115-AC118</f>
        <v/>
      </c>
      <c r="AD123" s="14">
        <f>AD115-AD118</f>
        <v/>
      </c>
      <c r="AE123" s="14">
        <f>AE115-AE118</f>
        <v/>
      </c>
      <c r="AF123" s="14">
        <f>AF115-AF118</f>
        <v/>
      </c>
      <c r="AG123" s="14">
        <f>AG115-AG118</f>
        <v/>
      </c>
      <c r="AH123" s="14">
        <f>AH115-AH118</f>
        <v/>
      </c>
      <c r="AI123" s="13" t="n"/>
      <c r="AJ123" s="13" t="n"/>
      <c r="AK123" s="13" t="n"/>
      <c r="AL123" s="13" t="n"/>
      <c r="AM123" s="13" t="n"/>
      <c r="AN123" s="13" t="n"/>
      <c r="AO123" s="13" t="n"/>
      <c r="AP123" s="13" t="n"/>
      <c r="AQ123" s="13" t="n"/>
      <c r="AR123" s="13" t="n"/>
      <c r="AS123" s="13" t="n"/>
      <c r="AT123" s="13" t="n"/>
      <c r="AU123" s="13" t="n"/>
      <c r="AV123" s="13" t="n"/>
      <c r="AW123" s="13" t="n"/>
      <c r="AX123" s="13" t="n"/>
      <c r="AY123" s="13" t="n"/>
      <c r="AZ123" s="13" t="n"/>
      <c r="BA123" s="13" t="n"/>
      <c r="BB123" s="13" t="n"/>
      <c r="BC123" s="13" t="n"/>
      <c r="BD123" s="13" t="n"/>
      <c r="BE123" s="13" t="n"/>
      <c r="BF123" s="13" t="n"/>
      <c r="BG123" s="13" t="n"/>
      <c r="BH123" s="13" t="n"/>
      <c r="BI123" s="13" t="n"/>
      <c r="BJ123" s="13" t="n"/>
      <c r="BK123" s="13" t="n"/>
      <c r="BL123" s="13" t="n"/>
      <c r="BM123" s="13" t="n"/>
      <c r="BN123" s="13" t="n"/>
      <c r="BO123" s="13" t="n"/>
    </row>
    <row r="124">
      <c r="A124" s="21" t="inlineStr">
        <is>
          <t>Net Income (%)</t>
        </is>
      </c>
      <c r="B124" s="19">
        <f>IF($B$7=0, 0, B123/$B$7)</f>
        <v/>
      </c>
      <c r="C124" s="19">
        <f>IF($C$7=0, 0, C123/$C$7)</f>
        <v/>
      </c>
      <c r="D124" s="19">
        <f>IF($D$7=0, 0, D123/$D$7)</f>
        <v/>
      </c>
      <c r="E124" s="19">
        <f>IF($E$7=0, 0, E123/$E$7)</f>
        <v/>
      </c>
      <c r="F124" s="19">
        <f>IF($F$7=0, 0, F123/$F$7)</f>
        <v/>
      </c>
      <c r="G124" s="19">
        <f>IF($G$7=0, 0, G123/$G$7)</f>
        <v/>
      </c>
      <c r="H124" s="19">
        <f>IF($H$7=0, 0, H123/$H$7)</f>
        <v/>
      </c>
      <c r="I124" s="19">
        <f>IF($I$7=0, 0, I123/$I$7)</f>
        <v/>
      </c>
      <c r="J124" s="19">
        <f>IF($J$7=0, 0, J123/$J$7)</f>
        <v/>
      </c>
      <c r="K124" s="19">
        <f>IF($K$7=0, 0, K123/$K$7)</f>
        <v/>
      </c>
      <c r="L124" s="19">
        <f>IF($L$7=0, 0, L123/$L$7)</f>
        <v/>
      </c>
      <c r="M124" s="19">
        <f>IF($M$7=0, 0, M123/$M$7)</f>
        <v/>
      </c>
      <c r="N124" s="19">
        <f>IF($N$7=0, 0, N123/$N$7)</f>
        <v/>
      </c>
      <c r="O124" s="19">
        <f>IF($O$7=0, 0, O123/$O$7)</f>
        <v/>
      </c>
      <c r="P124" s="19">
        <f>IF($P$7=0, 0, P123/$P$7)</f>
        <v/>
      </c>
      <c r="Q124" s="19">
        <f>IF($Q$7=0, 0, Q123/$Q$7)</f>
        <v/>
      </c>
      <c r="R124" s="19">
        <f>IF($R$7=0, 0, R123/$R$7)</f>
        <v/>
      </c>
      <c r="S124" s="19">
        <f>IF($S$7=0, 0, S123/$S$7)</f>
        <v/>
      </c>
      <c r="T124" s="19">
        <f>IF($T$7=0, 0, T123/$T$7)</f>
        <v/>
      </c>
      <c r="U124" s="19">
        <f>IF($U$7=0, 0, U123/$U$7)</f>
        <v/>
      </c>
      <c r="V124" s="19">
        <f>IF($V$7=0, 0, V123/$V$7)</f>
        <v/>
      </c>
      <c r="W124" s="19">
        <f>IF($W$7=0, 0, W123/$W$7)</f>
        <v/>
      </c>
      <c r="X124" s="19">
        <f>IF($X$7=0, 0, X123/$X$7)</f>
        <v/>
      </c>
      <c r="Y124" s="19">
        <f>IF($Y$7=0, 0, Y123/$Y$7)</f>
        <v/>
      </c>
      <c r="Z124" s="19">
        <f>IF($Z$7=0, 0, Z123/$Z$7)</f>
        <v/>
      </c>
      <c r="AA124" s="19">
        <f>IF($AA$7=0, 0, AA123/$AA$7)</f>
        <v/>
      </c>
      <c r="AB124" s="19">
        <f>IF($AB$7=0, 0, AB123/$AB$7)</f>
        <v/>
      </c>
      <c r="AC124" s="19">
        <f>IF($AC$7=0, 0, AC123/$AC$7)</f>
        <v/>
      </c>
      <c r="AD124" s="19">
        <f>IF($AD$7=0, 0, AD123/$AD$7)</f>
        <v/>
      </c>
      <c r="AE124" s="19">
        <f>IF($AE$7=0, 0, AE123/$AE$7)</f>
        <v/>
      </c>
      <c r="AF124" s="19">
        <f>IF($AF$7=0, 0, AF123/$AF$7)</f>
        <v/>
      </c>
      <c r="AG124" s="19">
        <f>IF($AG$7=0, 0, AG123/$AG$7)</f>
        <v/>
      </c>
      <c r="AH124" s="19">
        <f>IF($AH$7=0, 0, AH123/$AH$7)</f>
        <v/>
      </c>
    </row>
    <row r="125"/>
    <row r="126" hidden="1" outlineLevel="2" collapsed="1">
      <c r="A126" s="10" t="inlineStr">
        <is>
          <t>Amortization</t>
        </is>
      </c>
      <c r="B126" s="18">
        <f>B33</f>
        <v/>
      </c>
      <c r="C126" s="18">
        <f>C33</f>
        <v/>
      </c>
      <c r="D126" s="18">
        <f>D33</f>
        <v/>
      </c>
      <c r="E126" s="18">
        <f>E33</f>
        <v/>
      </c>
      <c r="F126" s="18">
        <f>F33</f>
        <v/>
      </c>
      <c r="G126" s="18">
        <f>G33</f>
        <v/>
      </c>
      <c r="H126" s="18">
        <f>H33</f>
        <v/>
      </c>
      <c r="I126" s="18">
        <f>I33</f>
        <v/>
      </c>
      <c r="J126" s="18">
        <f>J33</f>
        <v/>
      </c>
      <c r="K126" s="18">
        <f>K33</f>
        <v/>
      </c>
      <c r="L126" s="18">
        <f>L33</f>
        <v/>
      </c>
      <c r="M126" s="18">
        <f>M33</f>
        <v/>
      </c>
      <c r="N126" s="18">
        <f>N33</f>
        <v/>
      </c>
      <c r="O126" s="18">
        <f>O33</f>
        <v/>
      </c>
      <c r="P126" s="18">
        <f>P33</f>
        <v/>
      </c>
      <c r="Q126" s="18">
        <f>Q33</f>
        <v/>
      </c>
      <c r="R126" s="18">
        <f>R33</f>
        <v/>
      </c>
      <c r="S126" s="18">
        <f>S33</f>
        <v/>
      </c>
      <c r="T126" s="18">
        <f>T33</f>
        <v/>
      </c>
      <c r="U126" s="18">
        <f>U33</f>
        <v/>
      </c>
      <c r="V126" s="18">
        <f>V33</f>
        <v/>
      </c>
      <c r="W126" s="18">
        <f>W33</f>
        <v/>
      </c>
      <c r="X126" s="18">
        <f>X33</f>
        <v/>
      </c>
      <c r="Y126" s="18">
        <f>Y33</f>
        <v/>
      </c>
      <c r="Z126" s="18">
        <f>Z33</f>
        <v/>
      </c>
      <c r="AA126" s="18">
        <f>AA33</f>
        <v/>
      </c>
      <c r="AB126" s="18">
        <f>AB33</f>
        <v/>
      </c>
      <c r="AC126" s="18">
        <f>AC33</f>
        <v/>
      </c>
      <c r="AD126" s="18">
        <f>AD33</f>
        <v/>
      </c>
      <c r="AE126" s="18">
        <f>AE33</f>
        <v/>
      </c>
      <c r="AF126" s="18">
        <f>AF33</f>
        <v/>
      </c>
      <c r="AG126" s="18">
        <f>AG33</f>
        <v/>
      </c>
      <c r="AH126" s="18">
        <f>AH33</f>
        <v/>
      </c>
      <c r="AI126" s="19">
        <f>AH126/$AH$7</f>
        <v/>
      </c>
    </row>
    <row r="127" hidden="1" outlineLevel="2" collapsed="1">
      <c r="A127" s="10" t="inlineStr">
        <is>
          <t>Interest expense</t>
        </is>
      </c>
      <c r="B127" s="18">
        <f>B52</f>
        <v/>
      </c>
      <c r="C127" s="18">
        <f>C52</f>
        <v/>
      </c>
      <c r="D127" s="18">
        <f>D52</f>
        <v/>
      </c>
      <c r="E127" s="18">
        <f>E52</f>
        <v/>
      </c>
      <c r="F127" s="18">
        <f>F52</f>
        <v/>
      </c>
      <c r="G127" s="18">
        <f>G52</f>
        <v/>
      </c>
      <c r="H127" s="18">
        <f>H52</f>
        <v/>
      </c>
      <c r="I127" s="18">
        <f>I52</f>
        <v/>
      </c>
      <c r="J127" s="18">
        <f>J52</f>
        <v/>
      </c>
      <c r="K127" s="18">
        <f>K52</f>
        <v/>
      </c>
      <c r="L127" s="18">
        <f>L52</f>
        <v/>
      </c>
      <c r="M127" s="18">
        <f>M52</f>
        <v/>
      </c>
      <c r="N127" s="18">
        <f>N52</f>
        <v/>
      </c>
      <c r="O127" s="18">
        <f>O52</f>
        <v/>
      </c>
      <c r="P127" s="18">
        <f>P52</f>
        <v/>
      </c>
      <c r="Q127" s="18">
        <f>Q52</f>
        <v/>
      </c>
      <c r="R127" s="18">
        <f>R52</f>
        <v/>
      </c>
      <c r="S127" s="18">
        <f>S52</f>
        <v/>
      </c>
      <c r="T127" s="18">
        <f>T52</f>
        <v/>
      </c>
      <c r="U127" s="18">
        <f>U52</f>
        <v/>
      </c>
      <c r="V127" s="18">
        <f>V52</f>
        <v/>
      </c>
      <c r="W127" s="18">
        <f>W52</f>
        <v/>
      </c>
      <c r="X127" s="18">
        <f>X52</f>
        <v/>
      </c>
      <c r="Y127" s="18">
        <f>Y52</f>
        <v/>
      </c>
      <c r="Z127" s="18">
        <f>Z52</f>
        <v/>
      </c>
      <c r="AA127" s="18">
        <f>AA52</f>
        <v/>
      </c>
      <c r="AB127" s="18">
        <f>AB52</f>
        <v/>
      </c>
      <c r="AC127" s="18">
        <f>AC52</f>
        <v/>
      </c>
      <c r="AD127" s="18">
        <f>AD52</f>
        <v/>
      </c>
      <c r="AE127" s="18">
        <f>AE52</f>
        <v/>
      </c>
      <c r="AF127" s="18">
        <f>AF52</f>
        <v/>
      </c>
      <c r="AG127" s="18">
        <f>AG52</f>
        <v/>
      </c>
      <c r="AH127" s="18">
        <f>AH52</f>
        <v/>
      </c>
      <c r="AI127" s="19">
        <f>AH127/$AH$7</f>
        <v/>
      </c>
    </row>
    <row r="128" hidden="1" outlineLevel="2" collapsed="1">
      <c r="A128" s="10" t="inlineStr">
        <is>
          <t>Income taxes</t>
        </is>
      </c>
      <c r="B128" s="18">
        <f>B118</f>
        <v/>
      </c>
      <c r="C128" s="18">
        <f>C118</f>
        <v/>
      </c>
      <c r="D128" s="18">
        <f>D118</f>
        <v/>
      </c>
      <c r="E128" s="18">
        <f>E118</f>
        <v/>
      </c>
      <c r="F128" s="18">
        <f>F118</f>
        <v/>
      </c>
      <c r="G128" s="18">
        <f>G118</f>
        <v/>
      </c>
      <c r="H128" s="18">
        <f>H118</f>
        <v/>
      </c>
      <c r="I128" s="18">
        <f>I118</f>
        <v/>
      </c>
      <c r="J128" s="18">
        <f>J118</f>
        <v/>
      </c>
      <c r="K128" s="18">
        <f>K118</f>
        <v/>
      </c>
      <c r="L128" s="18">
        <f>L118</f>
        <v/>
      </c>
      <c r="M128" s="18">
        <f>M118</f>
        <v/>
      </c>
      <c r="N128" s="18">
        <f>N118</f>
        <v/>
      </c>
      <c r="O128" s="18">
        <f>O118</f>
        <v/>
      </c>
      <c r="P128" s="18">
        <f>P118</f>
        <v/>
      </c>
      <c r="Q128" s="18">
        <f>Q118</f>
        <v/>
      </c>
      <c r="R128" s="18">
        <f>R118</f>
        <v/>
      </c>
      <c r="S128" s="18">
        <f>S118</f>
        <v/>
      </c>
      <c r="T128" s="18">
        <f>T118</f>
        <v/>
      </c>
      <c r="U128" s="18">
        <f>U118</f>
        <v/>
      </c>
      <c r="V128" s="18">
        <f>V118</f>
        <v/>
      </c>
      <c r="W128" s="18">
        <f>W118</f>
        <v/>
      </c>
      <c r="X128" s="18">
        <f>X118</f>
        <v/>
      </c>
      <c r="Y128" s="18">
        <f>Y118</f>
        <v/>
      </c>
      <c r="Z128" s="18">
        <f>Z118</f>
        <v/>
      </c>
      <c r="AA128" s="18">
        <f>AA118</f>
        <v/>
      </c>
      <c r="AB128" s="18">
        <f>AB118</f>
        <v/>
      </c>
      <c r="AC128" s="18">
        <f>AC118</f>
        <v/>
      </c>
      <c r="AD128" s="18">
        <f>AD118</f>
        <v/>
      </c>
      <c r="AE128" s="18">
        <f>AE118</f>
        <v/>
      </c>
      <c r="AF128" s="18">
        <f>AF118</f>
        <v/>
      </c>
      <c r="AG128" s="18">
        <f>AG118</f>
        <v/>
      </c>
      <c r="AH128" s="18">
        <f>AH118</f>
        <v/>
      </c>
      <c r="AI128" s="19">
        <f>AH128/$AH$7</f>
        <v/>
      </c>
    </row>
    <row r="129" hidden="1" outlineLevel="2" collapsed="1">
      <c r="A129" s="20" t="inlineStr">
        <is>
          <t>total</t>
        </is>
      </c>
      <c r="B129" s="14">
        <f>B126+B127+B128</f>
        <v/>
      </c>
      <c r="C129" s="15">
        <f>B129/$B$7</f>
        <v/>
      </c>
      <c r="D129" s="14">
        <f>D126+D127+D128</f>
        <v/>
      </c>
      <c r="E129" s="15">
        <f>D129/$D$7</f>
        <v/>
      </c>
      <c r="F129" s="14">
        <f>F126+F127+F128</f>
        <v/>
      </c>
      <c r="G129" s="15">
        <f>F129/$F$7</f>
        <v/>
      </c>
      <c r="H129" s="14">
        <f>H126+H127+H128</f>
        <v/>
      </c>
      <c r="I129" s="15">
        <f>H129/$H$7</f>
        <v/>
      </c>
      <c r="J129" s="14">
        <f>J126+J127+J128</f>
        <v/>
      </c>
      <c r="K129" s="15">
        <f>J129/$J$7</f>
        <v/>
      </c>
      <c r="L129" s="14">
        <f>L126+L127+L128</f>
        <v/>
      </c>
      <c r="M129" s="15">
        <f>L129/$L$7</f>
        <v/>
      </c>
      <c r="N129" s="14">
        <f>N126+N127+N128</f>
        <v/>
      </c>
      <c r="O129" s="15">
        <f>N129/$N$7</f>
        <v/>
      </c>
      <c r="P129" s="14">
        <f>P126+P127+P128</f>
        <v/>
      </c>
      <c r="Q129" s="15">
        <f>P129/$P$7</f>
        <v/>
      </c>
      <c r="R129" s="14">
        <f>R126+R127+R128</f>
        <v/>
      </c>
      <c r="S129" s="15">
        <f>R129/$R$7</f>
        <v/>
      </c>
      <c r="T129" s="14">
        <f>T126+T127+T128</f>
        <v/>
      </c>
      <c r="U129" s="15">
        <f>T129/$T$7</f>
        <v/>
      </c>
      <c r="V129" s="14">
        <f>V126+V127+V128</f>
        <v/>
      </c>
      <c r="W129" s="15">
        <f>V129/$V$7</f>
        <v/>
      </c>
      <c r="X129" s="14">
        <f>X126+X127+X128</f>
        <v/>
      </c>
      <c r="Y129" s="15">
        <f>X129/$X$7</f>
        <v/>
      </c>
      <c r="Z129" s="14">
        <f>Z126+Z127+Z128</f>
        <v/>
      </c>
      <c r="AA129" s="15">
        <f>Z129/$Z$7</f>
        <v/>
      </c>
      <c r="AB129" s="14">
        <f>AB126+AB127+AB128</f>
        <v/>
      </c>
      <c r="AC129" s="15">
        <f>AB129/$AB$7</f>
        <v/>
      </c>
      <c r="AD129" s="14">
        <f>AD126+AD127+AD128</f>
        <v/>
      </c>
      <c r="AE129" s="15">
        <f>AD129/$AD$7</f>
        <v/>
      </c>
      <c r="AF129" s="14">
        <f>AF126+AF127+AF128</f>
        <v/>
      </c>
      <c r="AG129" s="15">
        <f>AF129/$AF$7</f>
        <v/>
      </c>
      <c r="AH129" s="14">
        <f>AH126+AH127+AH128</f>
        <v/>
      </c>
      <c r="AI129" s="15">
        <f>AH129/$AH$7</f>
        <v/>
      </c>
      <c r="AJ129" s="14">
        <f>0</f>
        <v/>
      </c>
      <c r="AK129" s="15">
        <f>AJ129/$AJ$7</f>
        <v/>
      </c>
      <c r="AL129" s="14">
        <f>0</f>
        <v/>
      </c>
      <c r="AM129" s="15">
        <f>AL129/$AL$7</f>
        <v/>
      </c>
      <c r="AN129" s="14">
        <f>0</f>
        <v/>
      </c>
      <c r="AO129" s="15">
        <f>AN129/$AN$7</f>
        <v/>
      </c>
      <c r="AP129" s="14">
        <f>0</f>
        <v/>
      </c>
      <c r="AQ129" s="15">
        <f>AP129/$AP$7</f>
        <v/>
      </c>
      <c r="AR129" s="14">
        <f>0</f>
        <v/>
      </c>
      <c r="AS129" s="15">
        <f>AR129/$AR$7</f>
        <v/>
      </c>
      <c r="AT129" s="14">
        <f>0</f>
        <v/>
      </c>
      <c r="AU129" s="15">
        <f>AT129/$AT$7</f>
        <v/>
      </c>
      <c r="AV129" s="14">
        <f>0</f>
        <v/>
      </c>
      <c r="AW129" s="15">
        <f>AV129/$AV$7</f>
        <v/>
      </c>
      <c r="AX129" s="14">
        <f>0</f>
        <v/>
      </c>
      <c r="AY129" s="15">
        <f>AX129/$AX$7</f>
        <v/>
      </c>
      <c r="AZ129" s="14">
        <f>0</f>
        <v/>
      </c>
      <c r="BA129" s="15">
        <f>AZ129/$AZ$7</f>
        <v/>
      </c>
      <c r="BB129" s="14">
        <f>0</f>
        <v/>
      </c>
      <c r="BC129" s="15">
        <f>BB129/$BB$7</f>
        <v/>
      </c>
      <c r="BD129" s="14">
        <f>0</f>
        <v/>
      </c>
      <c r="BE129" s="15">
        <f>BD129/$BD$7</f>
        <v/>
      </c>
      <c r="BF129" s="14">
        <f>0</f>
        <v/>
      </c>
      <c r="BG129" s="15">
        <f>BF129/$BF$7</f>
        <v/>
      </c>
      <c r="BH129" s="14">
        <f>0</f>
        <v/>
      </c>
      <c r="BI129" s="15">
        <f>BH129/$BH$7</f>
        <v/>
      </c>
      <c r="BJ129" s="14">
        <f>0</f>
        <v/>
      </c>
      <c r="BK129" s="15">
        <f>BJ129/$BJ$7</f>
        <v/>
      </c>
      <c r="BL129" s="14">
        <f>0</f>
        <v/>
      </c>
      <c r="BM129" s="15">
        <f>BL129/$BL$7</f>
        <v/>
      </c>
      <c r="BN129" s="14">
        <f>0</f>
        <v/>
      </c>
      <c r="BO129" s="15">
        <f>BN129/$BN$7</f>
        <v/>
      </c>
    </row>
    <row r="130">
      <c r="A130" s="13" t="inlineStr">
        <is>
          <t>EBITDA</t>
        </is>
      </c>
      <c r="B130" s="14">
        <f>B123+B129</f>
        <v/>
      </c>
      <c r="C130" s="14">
        <f>C123+C129</f>
        <v/>
      </c>
      <c r="D130" s="14">
        <f>D123+D129</f>
        <v/>
      </c>
      <c r="E130" s="14">
        <f>E123+E129</f>
        <v/>
      </c>
      <c r="F130" s="14">
        <f>F123+F129</f>
        <v/>
      </c>
      <c r="G130" s="14">
        <f>G123+G129</f>
        <v/>
      </c>
      <c r="H130" s="14">
        <f>H123+H129</f>
        <v/>
      </c>
      <c r="I130" s="14">
        <f>I123+I129</f>
        <v/>
      </c>
      <c r="J130" s="14">
        <f>J123+J129</f>
        <v/>
      </c>
      <c r="K130" s="14">
        <f>K123+K129</f>
        <v/>
      </c>
      <c r="L130" s="14">
        <f>L123+L129</f>
        <v/>
      </c>
      <c r="M130" s="14">
        <f>M123+M129</f>
        <v/>
      </c>
      <c r="N130" s="14">
        <f>N123+N129</f>
        <v/>
      </c>
      <c r="O130" s="14">
        <f>O123+O129</f>
        <v/>
      </c>
      <c r="P130" s="14">
        <f>P123+P129</f>
        <v/>
      </c>
      <c r="Q130" s="14">
        <f>Q123+Q129</f>
        <v/>
      </c>
      <c r="R130" s="14">
        <f>R123+R129</f>
        <v/>
      </c>
      <c r="S130" s="14">
        <f>S123+S129</f>
        <v/>
      </c>
      <c r="T130" s="14">
        <f>T123+T129</f>
        <v/>
      </c>
      <c r="U130" s="14">
        <f>U123+U129</f>
        <v/>
      </c>
      <c r="V130" s="14">
        <f>V123+V129</f>
        <v/>
      </c>
      <c r="W130" s="14">
        <f>W123+W129</f>
        <v/>
      </c>
      <c r="X130" s="14">
        <f>X123+X129</f>
        <v/>
      </c>
      <c r="Y130" s="14">
        <f>Y123+Y129</f>
        <v/>
      </c>
      <c r="Z130" s="14">
        <f>Z123+Z129</f>
        <v/>
      </c>
      <c r="AA130" s="14">
        <f>AA123+AA129</f>
        <v/>
      </c>
      <c r="AB130" s="14">
        <f>AB123+AB129</f>
        <v/>
      </c>
      <c r="AC130" s="14">
        <f>AC123+AC129</f>
        <v/>
      </c>
      <c r="AD130" s="14">
        <f>AD123+AD129</f>
        <v/>
      </c>
      <c r="AE130" s="14">
        <f>AE123+AE129</f>
        <v/>
      </c>
      <c r="AF130" s="14">
        <f>AF123+AF129</f>
        <v/>
      </c>
      <c r="AG130" s="14">
        <f>AG123+AG129</f>
        <v/>
      </c>
      <c r="AH130" s="14">
        <f>AH123+AH129</f>
        <v/>
      </c>
      <c r="AI130" s="13" t="n"/>
      <c r="AJ130" s="13" t="n"/>
      <c r="AK130" s="13" t="n"/>
      <c r="AL130" s="13" t="n"/>
      <c r="AM130" s="13" t="n"/>
      <c r="AN130" s="13" t="n"/>
      <c r="AO130" s="13" t="n"/>
      <c r="AP130" s="13" t="n"/>
      <c r="AQ130" s="13" t="n"/>
      <c r="AR130" s="13" t="n"/>
      <c r="AS130" s="13" t="n"/>
      <c r="AT130" s="13" t="n"/>
      <c r="AU130" s="13" t="n"/>
      <c r="AV130" s="13" t="n"/>
      <c r="AW130" s="13" t="n"/>
      <c r="AX130" s="13" t="n"/>
      <c r="AY130" s="13" t="n"/>
      <c r="AZ130" s="13" t="n"/>
      <c r="BA130" s="13" t="n"/>
      <c r="BB130" s="13" t="n"/>
      <c r="BC130" s="13" t="n"/>
      <c r="BD130" s="13" t="n"/>
      <c r="BE130" s="13" t="n"/>
      <c r="BF130" s="13" t="n"/>
      <c r="BG130" s="13" t="n"/>
      <c r="BH130" s="13" t="n"/>
      <c r="BI130" s="13" t="n"/>
      <c r="BJ130" s="13" t="n"/>
      <c r="BK130" s="13" t="n"/>
      <c r="BL130" s="13" t="n"/>
      <c r="BM130" s="13" t="n"/>
      <c r="BN130" s="13" t="n"/>
      <c r="BO130" s="13" t="n"/>
    </row>
    <row r="131">
      <c r="A131" s="21" t="inlineStr">
        <is>
          <t>EBITDA (%)</t>
        </is>
      </c>
      <c r="B131" s="19">
        <f>IF($B$7=0, 0, B130/$B$7)</f>
        <v/>
      </c>
      <c r="C131" s="19">
        <f>IF($C$7=0, 0, C130/$C$7)</f>
        <v/>
      </c>
      <c r="D131" s="19">
        <f>IF($D$7=0, 0, D130/$D$7)</f>
        <v/>
      </c>
      <c r="E131" s="19">
        <f>IF($E$7=0, 0, E130/$E$7)</f>
        <v/>
      </c>
      <c r="F131" s="19">
        <f>IF($F$7=0, 0, F130/$F$7)</f>
        <v/>
      </c>
      <c r="G131" s="19">
        <f>IF($G$7=0, 0, G130/$G$7)</f>
        <v/>
      </c>
      <c r="H131" s="19">
        <f>IF($H$7=0, 0, H130/$H$7)</f>
        <v/>
      </c>
      <c r="I131" s="19">
        <f>IF($I$7=0, 0, I130/$I$7)</f>
        <v/>
      </c>
      <c r="J131" s="19">
        <f>IF($J$7=0, 0, J130/$J$7)</f>
        <v/>
      </c>
      <c r="K131" s="19">
        <f>IF($K$7=0, 0, K130/$K$7)</f>
        <v/>
      </c>
      <c r="L131" s="19">
        <f>IF($L$7=0, 0, L130/$L$7)</f>
        <v/>
      </c>
      <c r="M131" s="19">
        <f>IF($M$7=0, 0, M130/$M$7)</f>
        <v/>
      </c>
      <c r="N131" s="19">
        <f>IF($N$7=0, 0, N130/$N$7)</f>
        <v/>
      </c>
      <c r="O131" s="19">
        <f>IF($O$7=0, 0, O130/$O$7)</f>
        <v/>
      </c>
      <c r="P131" s="19">
        <f>IF($P$7=0, 0, P130/$P$7)</f>
        <v/>
      </c>
      <c r="Q131" s="19">
        <f>IF($Q$7=0, 0, Q130/$Q$7)</f>
        <v/>
      </c>
      <c r="R131" s="19">
        <f>IF($R$7=0, 0, R130/$R$7)</f>
        <v/>
      </c>
      <c r="S131" s="19">
        <f>IF($S$7=0, 0, S130/$S$7)</f>
        <v/>
      </c>
      <c r="T131" s="19">
        <f>IF($T$7=0, 0, T130/$T$7)</f>
        <v/>
      </c>
      <c r="U131" s="19">
        <f>IF($U$7=0, 0, U130/$U$7)</f>
        <v/>
      </c>
      <c r="V131" s="19">
        <f>IF($V$7=0, 0, V130/$V$7)</f>
        <v/>
      </c>
      <c r="W131" s="19">
        <f>IF($W$7=0, 0, W130/$W$7)</f>
        <v/>
      </c>
      <c r="X131" s="19">
        <f>IF($X$7=0, 0, X130/$X$7)</f>
        <v/>
      </c>
      <c r="Y131" s="19">
        <f>IF($Y$7=0, 0, Y130/$Y$7)</f>
        <v/>
      </c>
      <c r="Z131" s="19">
        <f>IF($Z$7=0, 0, Z130/$Z$7)</f>
        <v/>
      </c>
      <c r="AA131" s="19">
        <f>IF($AA$7=0, 0, AA130/$AA$7)</f>
        <v/>
      </c>
      <c r="AB131" s="19">
        <f>IF($AB$7=0, 0, AB130/$AB$7)</f>
        <v/>
      </c>
      <c r="AC131" s="19">
        <f>IF($AC$7=0, 0, AC130/$AC$7)</f>
        <v/>
      </c>
      <c r="AD131" s="19">
        <f>IF($AD$7=0, 0, AD130/$AD$7)</f>
        <v/>
      </c>
      <c r="AE131" s="19">
        <f>IF($AE$7=0, 0, AE130/$AE$7)</f>
        <v/>
      </c>
      <c r="AF131" s="19">
        <f>IF($AF$7=0, 0, AF130/$AF$7)</f>
        <v/>
      </c>
      <c r="AG131" s="19">
        <f>IF($AG$7=0, 0, AG130/$AG$7)</f>
        <v/>
      </c>
      <c r="AH131" s="19">
        <f>IF($AH$7=0, 0, AH130/$AH$7)</f>
        <v/>
      </c>
    </row>
  </sheetData>
  <mergeCells count="34">
    <mergeCell ref="L6"/>
    <mergeCell ref="B6"/>
    <mergeCell ref="AC6"/>
    <mergeCell ref="N6"/>
    <mergeCell ref="T6"/>
    <mergeCell ref="AE6"/>
    <mergeCell ref="K6"/>
    <mergeCell ref="I6"/>
    <mergeCell ref="Z6"/>
    <mergeCell ref="AB6"/>
    <mergeCell ref="C6"/>
    <mergeCell ref="O6"/>
    <mergeCell ref="U6"/>
    <mergeCell ref="W6"/>
    <mergeCell ref="F6"/>
    <mergeCell ref="H6"/>
    <mergeCell ref="D6"/>
    <mergeCell ref="J6"/>
    <mergeCell ref="P6"/>
    <mergeCell ref="AA6"/>
    <mergeCell ref="AG6"/>
    <mergeCell ref="A1:AH1"/>
    <mergeCell ref="R6"/>
    <mergeCell ref="G6"/>
    <mergeCell ref="AD6"/>
    <mergeCell ref="AF6"/>
    <mergeCell ref="V6"/>
    <mergeCell ref="X6"/>
    <mergeCell ref="M6"/>
    <mergeCell ref="E6"/>
    <mergeCell ref="Q6"/>
    <mergeCell ref="AH6"/>
    <mergeCell ref="S6"/>
    <mergeCell ref="Y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2025-08-09T09:13:42Z</dcterms:created>
  <dcterms:modified xsi:type="dcterms:W3CDTF">2025-08-09T09:13:44Z</dcterms:modified>
</cp:coreProperties>
</file>